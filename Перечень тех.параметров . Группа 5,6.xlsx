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\\10.10.10.102\Work\2-Проект\Хромпик ООО\Цех3О-АТХ2\АСУТП\"/>
    </mc:Choice>
  </mc:AlternateContent>
  <xr:revisionPtr revIDLastSave="0" documentId="13_ncr:1_{8E311CB9-7F91-43D9-8CEA-EE46EC4BC46D}" xr6:coauthVersionLast="47" xr6:coauthVersionMax="47" xr10:uidLastSave="{00000000-0000-0000-0000-000000000000}"/>
  <bookViews>
    <workbookView xWindow="-25200" yWindow="-21720" windowWidth="38640" windowHeight="21120" tabRatio="495" activeTab="1" xr2:uid="{00000000-000D-0000-FFFF-FFFF00000000}"/>
  </bookViews>
  <sheets>
    <sheet name="Справочник" sheetId="2" r:id="rId1"/>
    <sheet name="Цех 3О" sheetId="1" r:id="rId2"/>
  </sheets>
  <definedNames>
    <definedName name="_xlnm._FilterDatabase" localSheetId="1" hidden="1">'Цех 3О'!$A$1:$N$1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2" i="1"/>
  <c r="I11" i="1"/>
  <c r="I9" i="1"/>
  <c r="I8" i="1"/>
  <c r="I7" i="1"/>
  <c r="I6" i="1"/>
  <c r="I5" i="1"/>
  <c r="I3" i="1" l="1"/>
  <c r="I2" i="1"/>
  <c r="I10" i="1"/>
  <c r="I4" i="1"/>
  <c r="H10" i="1"/>
  <c r="H107" i="1"/>
  <c r="H108" i="1"/>
  <c r="H109" i="1"/>
  <c r="H110" i="1"/>
  <c r="H111" i="1"/>
  <c r="H112" i="1"/>
  <c r="H113" i="1"/>
  <c r="H114" i="1"/>
  <c r="H106" i="1"/>
  <c r="H105" i="1"/>
  <c r="H104" i="1"/>
  <c r="H103" i="1"/>
  <c r="H102" i="1"/>
  <c r="H94" i="1"/>
  <c r="H101" i="1"/>
  <c r="H100" i="1"/>
  <c r="H99" i="1"/>
  <c r="H98" i="1"/>
  <c r="H97" i="1"/>
  <c r="H96" i="1"/>
  <c r="H95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25" i="1"/>
  <c r="H24" i="1"/>
  <c r="H23" i="1"/>
  <c r="H22" i="1"/>
  <c r="H21" i="1"/>
  <c r="H20" i="1"/>
  <c r="H19" i="1"/>
  <c r="H18" i="1"/>
  <c r="H17" i="1"/>
  <c r="H16" i="1"/>
  <c r="H15" i="1"/>
  <c r="H14" i="1"/>
  <c r="H57" i="1"/>
  <c r="H67" i="1"/>
  <c r="H66" i="1"/>
  <c r="H65" i="1"/>
  <c r="H64" i="1"/>
  <c r="H63" i="1"/>
  <c r="H62" i="1"/>
  <c r="H61" i="1"/>
  <c r="H60" i="1"/>
  <c r="H59" i="1"/>
  <c r="H58" i="1"/>
  <c r="H56" i="1"/>
  <c r="H55" i="1"/>
  <c r="H54" i="1"/>
  <c r="H43" i="1"/>
  <c r="H53" i="1"/>
  <c r="H52" i="1"/>
  <c r="H51" i="1"/>
  <c r="H50" i="1"/>
  <c r="H49" i="1"/>
  <c r="H48" i="1"/>
  <c r="H47" i="1"/>
  <c r="H46" i="1"/>
  <c r="H45" i="1"/>
  <c r="H44" i="1"/>
  <c r="H42" i="1"/>
  <c r="H41" i="1"/>
  <c r="H40" i="1"/>
  <c r="H38" i="1"/>
  <c r="H39" i="1"/>
  <c r="H9" i="1" l="1"/>
  <c r="H8" i="1" l="1"/>
  <c r="H7" i="1"/>
  <c r="H11" i="1"/>
  <c r="H4" i="1"/>
  <c r="H3" i="1"/>
  <c r="H5" i="1"/>
  <c r="H6" i="1"/>
  <c r="H12" i="1"/>
  <c r="H13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</calcChain>
</file>

<file path=xl/sharedStrings.xml><?xml version="1.0" encoding="utf-8"?>
<sst xmlns="http://schemas.openxmlformats.org/spreadsheetml/2006/main" count="658" uniqueCount="208">
  <si>
    <t>Цех</t>
  </si>
  <si>
    <t>Агрегат</t>
  </si>
  <si>
    <t>Переменная</t>
  </si>
  <si>
    <t>м</t>
  </si>
  <si>
    <t>Объект</t>
  </si>
  <si>
    <t>Мешалка</t>
  </si>
  <si>
    <t>Г5</t>
  </si>
  <si>
    <t>TVSA 316512</t>
  </si>
  <si>
    <t>LVSA 316513</t>
  </si>
  <si>
    <t>Датчик давления</t>
  </si>
  <si>
    <t>PE</t>
  </si>
  <si>
    <t>Давление</t>
  </si>
  <si>
    <t>TE</t>
  </si>
  <si>
    <t>FE</t>
  </si>
  <si>
    <t>LE</t>
  </si>
  <si>
    <t>FS</t>
  </si>
  <si>
    <t>SE</t>
  </si>
  <si>
    <t>Контролируемый параметр (аналоговые датчики)</t>
  </si>
  <si>
    <t>Температура</t>
  </si>
  <si>
    <t>Расход</t>
  </si>
  <si>
    <t>Уровень</t>
  </si>
  <si>
    <t>Частота вращения (обороты)</t>
  </si>
  <si>
    <t>Контролируемый параметр (дискретные датчики)</t>
  </si>
  <si>
    <t>PS</t>
  </si>
  <si>
    <t>TS</t>
  </si>
  <si>
    <t>LS</t>
  </si>
  <si>
    <t xml:space="preserve"> Реле давления</t>
  </si>
  <si>
    <t>Реле температуры</t>
  </si>
  <si>
    <t>Реле протока</t>
  </si>
  <si>
    <t>Реле уровня</t>
  </si>
  <si>
    <t>Префикс</t>
  </si>
  <si>
    <t>Механизм, агрегат</t>
  </si>
  <si>
    <t>Насос</t>
  </si>
  <si>
    <t>Задвижка регулируемая</t>
  </si>
  <si>
    <t>Клапан солинодиный</t>
  </si>
  <si>
    <t>M</t>
  </si>
  <si>
    <t>Мешалка, двигатель</t>
  </si>
  <si>
    <t xml:space="preserve">Пример: </t>
  </si>
  <si>
    <t>M31151A - мешалка бака промежуточного 31151А</t>
  </si>
  <si>
    <t>Pmp3115.11A - насос</t>
  </si>
  <si>
    <t xml:space="preserve">Vlv316511 - задвижка регулирования подачи суспензии </t>
  </si>
  <si>
    <t>Пример:</t>
  </si>
  <si>
    <t>LE314511 - датчик уровня в баке промежуточном 31151А</t>
  </si>
  <si>
    <t>3О</t>
  </si>
  <si>
    <t>БА</t>
  </si>
  <si>
    <t>P</t>
  </si>
  <si>
    <t>V</t>
  </si>
  <si>
    <t>S</t>
  </si>
  <si>
    <t>Отделение</t>
  </si>
  <si>
    <t>Участок
(группа)</t>
  </si>
  <si>
    <t>Название агрегата</t>
  </si>
  <si>
    <t>Название объекта</t>
  </si>
  <si>
    <t>Юнит
создан /
функция обработки создана</t>
  </si>
  <si>
    <t>Группа
подключена</t>
  </si>
  <si>
    <t>Автоматика
создана</t>
  </si>
  <si>
    <t>31151A</t>
  </si>
  <si>
    <t>SIRCA_31151A</t>
  </si>
  <si>
    <t>H_318511</t>
  </si>
  <si>
    <t>Локальный пульт управления мешалкой 31151А</t>
  </si>
  <si>
    <t>МПа</t>
  </si>
  <si>
    <t>Бак промежуточный 
31151А
 32м3</t>
  </si>
  <si>
    <t>LRCA_314511</t>
  </si>
  <si>
    <t>LVSA 316511</t>
  </si>
  <si>
    <t>PRCA_312511</t>
  </si>
  <si>
    <t>TRCA_311511</t>
  </si>
  <si>
    <t>Датчик температуры</t>
  </si>
  <si>
    <t>FSA_313511</t>
  </si>
  <si>
    <t>NCSA_3115.11A</t>
  </si>
  <si>
    <t>H_318512</t>
  </si>
  <si>
    <t>Локальный пульт управления насосом 3115.11А</t>
  </si>
  <si>
    <t>Датчик уровня гидростатический</t>
  </si>
  <si>
    <t>Светосигнальная колонна</t>
  </si>
  <si>
    <t>HL_318518</t>
  </si>
  <si>
    <t>Датчик протока</t>
  </si>
  <si>
    <t>Группа 
автоматики</t>
  </si>
  <si>
    <t>G_31151A</t>
  </si>
  <si>
    <t>°С</t>
  </si>
  <si>
    <t>SIRCA_31161</t>
  </si>
  <si>
    <t>H_318531</t>
  </si>
  <si>
    <t>Локальный пульт управления мешалкой 31161</t>
  </si>
  <si>
    <t>AVSA 316536</t>
  </si>
  <si>
    <t>Кран c ЭП подачи суспензии</t>
  </si>
  <si>
    <t>Кран c ЭП подачи пара перегретого</t>
  </si>
  <si>
    <t>Кран c ЭП слива суспензии</t>
  </si>
  <si>
    <t>LVSA 316531</t>
  </si>
  <si>
    <t>Кран 3-ходовой c ЭП подачи суспензии</t>
  </si>
  <si>
    <t>TVSA 316532</t>
  </si>
  <si>
    <t>LVSA 316535</t>
  </si>
  <si>
    <t>TVSA 316534</t>
  </si>
  <si>
    <t>AVSA 316533</t>
  </si>
  <si>
    <t>HL_318538</t>
  </si>
  <si>
    <t>FSA_313531</t>
  </si>
  <si>
    <t>LRCA_314531</t>
  </si>
  <si>
    <t>TRCA_311531</t>
  </si>
  <si>
    <t>TRCA_311532</t>
  </si>
  <si>
    <t>ARCSA_315551</t>
  </si>
  <si>
    <t>Датчик измеритель мутности</t>
  </si>
  <si>
    <t>ARCSA_315531</t>
  </si>
  <si>
    <t>SIRCA_31171</t>
  </si>
  <si>
    <t>H_318541</t>
  </si>
  <si>
    <t>Локальный пульт управления мешалкой 31171</t>
  </si>
  <si>
    <t>LVSA 316542</t>
  </si>
  <si>
    <t>TVSA 316543</t>
  </si>
  <si>
    <t>TVSA 316545</t>
  </si>
  <si>
    <t>LVSA 316546</t>
  </si>
  <si>
    <t>LVSA 316541</t>
  </si>
  <si>
    <t>AVSA 316544</t>
  </si>
  <si>
    <t>Кран c ЭП перелива суспензии</t>
  </si>
  <si>
    <t>HL_318548</t>
  </si>
  <si>
    <t>FSA_313541</t>
  </si>
  <si>
    <t>LRCA_314541</t>
  </si>
  <si>
    <t>TRCA_311541</t>
  </si>
  <si>
    <t>TRCA_311542</t>
  </si>
  <si>
    <t>ARCSA_315541</t>
  </si>
  <si>
    <t>SIRCA_31181</t>
  </si>
  <si>
    <t>H_318551</t>
  </si>
  <si>
    <t>Локальный пульт управления мешалкой 31181</t>
  </si>
  <si>
    <t>LVSA 316551</t>
  </si>
  <si>
    <t>LVSA 316556</t>
  </si>
  <si>
    <t>TVSA 316552</t>
  </si>
  <si>
    <t>TVSA 316554</t>
  </si>
  <si>
    <t>LVSA 316555</t>
  </si>
  <si>
    <t>AVSA 316553</t>
  </si>
  <si>
    <t>HL_318558</t>
  </si>
  <si>
    <t>FSA_313551</t>
  </si>
  <si>
    <t>LRCA_314551</t>
  </si>
  <si>
    <t>TRCA_311551</t>
  </si>
  <si>
    <t>TRCA_311552</t>
  </si>
  <si>
    <t>31151B</t>
  </si>
  <si>
    <t>Бак промежуточный 
31151B
 32м3</t>
  </si>
  <si>
    <t>SIRCA_31151B</t>
  </si>
  <si>
    <t>H_318521</t>
  </si>
  <si>
    <t>Локальный пульт управления мешалкой 31151B</t>
  </si>
  <si>
    <t>LVSA 316521</t>
  </si>
  <si>
    <t>TVSA 316522</t>
  </si>
  <si>
    <t>LVSA 316523</t>
  </si>
  <si>
    <t>NCSA_3115.11B</t>
  </si>
  <si>
    <t>Локальный пульт управления насосом 3115.11B</t>
  </si>
  <si>
    <t>H_318522</t>
  </si>
  <si>
    <t>HL_318528</t>
  </si>
  <si>
    <t>FSA_313521</t>
  </si>
  <si>
    <t>LRCA_314521</t>
  </si>
  <si>
    <t>PRCA_312521</t>
  </si>
  <si>
    <t>TRCA_311521</t>
  </si>
  <si>
    <t>Бак репульпатор 
31191 
20м3</t>
  </si>
  <si>
    <t>Отстойник 
31181 
16м3</t>
  </si>
  <si>
    <t>Отстойник 
31171 
16м3</t>
  </si>
  <si>
    <t>Отстойник 
31161 
16м3</t>
  </si>
  <si>
    <t>SIRCA_31191</t>
  </si>
  <si>
    <t>H_318561</t>
  </si>
  <si>
    <t>Локальный пульт управления мешалкой 31191</t>
  </si>
  <si>
    <t>LVSA 316561</t>
  </si>
  <si>
    <t>TVSA 316563</t>
  </si>
  <si>
    <t>TVSA 316562</t>
  </si>
  <si>
    <t>LVSA 316564</t>
  </si>
  <si>
    <t>HL_318568</t>
  </si>
  <si>
    <t>FSA_313561</t>
  </si>
  <si>
    <t>LRCA_314561</t>
  </si>
  <si>
    <t>TRCA_311561</t>
  </si>
  <si>
    <t>TRCA_311562</t>
  </si>
  <si>
    <t>G_31151B</t>
  </si>
  <si>
    <t>Бак сборник
31131 
16м3</t>
  </si>
  <si>
    <t>SIRCA_31131</t>
  </si>
  <si>
    <t>H_318571</t>
  </si>
  <si>
    <t>LVSA 316571</t>
  </si>
  <si>
    <t>TVSA 316572</t>
  </si>
  <si>
    <t>LVSA 316573</t>
  </si>
  <si>
    <t>AVSA 316574</t>
  </si>
  <si>
    <t>HL_318578</t>
  </si>
  <si>
    <t>FSA_313571</t>
  </si>
  <si>
    <t>LRCA_314571</t>
  </si>
  <si>
    <t>TRCA_311571</t>
  </si>
  <si>
    <t>TRCA_311572</t>
  </si>
  <si>
    <t>ARCSA_315571</t>
  </si>
  <si>
    <t>SIRCA_31141</t>
  </si>
  <si>
    <t>Локальный пульт управления мешалкой 31131</t>
  </si>
  <si>
    <t>Локальный пульт управления мешалкой 31341</t>
  </si>
  <si>
    <t>Бак сборник
31341 
40м3</t>
  </si>
  <si>
    <t>H_318591</t>
  </si>
  <si>
    <t>LVSA 316591</t>
  </si>
  <si>
    <t>LVSA 316592</t>
  </si>
  <si>
    <t>TVSA 316593</t>
  </si>
  <si>
    <t>LVSA 316594</t>
  </si>
  <si>
    <t>HL_318598</t>
  </si>
  <si>
    <t>FSA_313591</t>
  </si>
  <si>
    <t>LRCA_314591</t>
  </si>
  <si>
    <t>TRCA_311591</t>
  </si>
  <si>
    <t>TRCA_311592</t>
  </si>
  <si>
    <t>TRCA_311593</t>
  </si>
  <si>
    <t>Насосы центробежные
31351</t>
  </si>
  <si>
    <t>NCSA_31351A</t>
  </si>
  <si>
    <t>H_318592</t>
  </si>
  <si>
    <t>Локальный пульт управления насосом 31351А</t>
  </si>
  <si>
    <t>Кран c ЭП слива раствора грязного БА</t>
  </si>
  <si>
    <t>PRCA_312591</t>
  </si>
  <si>
    <t>NCSA_31351B</t>
  </si>
  <si>
    <t>H_318593</t>
  </si>
  <si>
    <t>HVSA 316594</t>
  </si>
  <si>
    <t>HVSA 316595</t>
  </si>
  <si>
    <t>PRCA_312592</t>
  </si>
  <si>
    <t>Локальный пульт управления насосом 31351B</t>
  </si>
  <si>
    <t>NCSA_31351C</t>
  </si>
  <si>
    <t>H_318594</t>
  </si>
  <si>
    <t>Локальный пульт управления насосом 31351C</t>
  </si>
  <si>
    <t>HVSA 316597</t>
  </si>
  <si>
    <t>PRCA_312593</t>
  </si>
  <si>
    <t>Ед.изм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</si>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</sst>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3" fillId="3" borderId="0" xfId="0" applyFont="1" applyFill="1"/>
    <xf numFmtId="0" fontId="2" fillId="2" borderId="2" xfId="0" applyFont="1" applyFill="1" applyBorder="1"/>
    <xf numFmtId="0" fontId="2" fillId="2" borderId="3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9ED0-9242-448E-8269-7DF1BC2A6F27}">
  <dimension ref="B2:G19"/>
  <sheetViews>
    <sheetView workbookViewId="0">
      <selection activeCell="C28" sqref="C28"/>
    </sheetView>
  </sheetViews>
  <sheetFormatPr defaultRowHeight="15" x14ac:dyDescent="0.25"/>
  <cols>
    <col min="1" max="1" width="13" customWidth="1"/>
    <col min="2" max="2" width="14.7109375" customWidth="1"/>
    <col min="3" max="3" width="56.85546875" customWidth="1"/>
    <col min="6" max="6" width="12" customWidth="1"/>
    <col min="7" max="7" width="54.85546875" customWidth="1"/>
  </cols>
  <sheetData>
    <row r="2" spans="2:7" x14ac:dyDescent="0.25">
      <c r="B2" s="3" t="s">
        <v>30</v>
      </c>
      <c r="C2" s="4" t="s">
        <v>17</v>
      </c>
      <c r="F2" s="3" t="s">
        <v>30</v>
      </c>
      <c r="G2" s="4" t="s">
        <v>31</v>
      </c>
    </row>
    <row r="3" spans="2:7" x14ac:dyDescent="0.25">
      <c r="B3" t="s">
        <v>10</v>
      </c>
      <c r="C3" t="s">
        <v>11</v>
      </c>
      <c r="F3" t="s">
        <v>35</v>
      </c>
      <c r="G3" t="s">
        <v>36</v>
      </c>
    </row>
    <row r="4" spans="2:7" x14ac:dyDescent="0.25">
      <c r="B4" t="s">
        <v>12</v>
      </c>
      <c r="C4" t="s">
        <v>18</v>
      </c>
      <c r="F4" t="s">
        <v>45</v>
      </c>
      <c r="G4" t="s">
        <v>32</v>
      </c>
    </row>
    <row r="5" spans="2:7" x14ac:dyDescent="0.25">
      <c r="B5" t="s">
        <v>13</v>
      </c>
      <c r="C5" t="s">
        <v>19</v>
      </c>
      <c r="F5" t="s">
        <v>46</v>
      </c>
      <c r="G5" t="s">
        <v>33</v>
      </c>
    </row>
    <row r="6" spans="2:7" x14ac:dyDescent="0.25">
      <c r="B6" t="s">
        <v>14</v>
      </c>
      <c r="C6" t="s">
        <v>20</v>
      </c>
      <c r="F6" t="s">
        <v>47</v>
      </c>
      <c r="G6" t="s">
        <v>34</v>
      </c>
    </row>
    <row r="7" spans="2:7" x14ac:dyDescent="0.25">
      <c r="B7" t="s">
        <v>16</v>
      </c>
      <c r="C7" t="s">
        <v>21</v>
      </c>
    </row>
    <row r="8" spans="2:7" x14ac:dyDescent="0.25">
      <c r="G8" s="2" t="s">
        <v>37</v>
      </c>
    </row>
    <row r="9" spans="2:7" x14ac:dyDescent="0.25">
      <c r="G9" s="1" t="s">
        <v>38</v>
      </c>
    </row>
    <row r="10" spans="2:7" x14ac:dyDescent="0.25">
      <c r="G10" s="1" t="s">
        <v>39</v>
      </c>
    </row>
    <row r="11" spans="2:7" x14ac:dyDescent="0.25">
      <c r="B11" s="3" t="s">
        <v>30</v>
      </c>
      <c r="C11" s="4" t="s">
        <v>22</v>
      </c>
      <c r="G11" s="1" t="s">
        <v>40</v>
      </c>
    </row>
    <row r="12" spans="2:7" x14ac:dyDescent="0.25">
      <c r="B12" t="s">
        <v>23</v>
      </c>
      <c r="C12" t="s">
        <v>26</v>
      </c>
    </row>
    <row r="13" spans="2:7" x14ac:dyDescent="0.25">
      <c r="B13" t="s">
        <v>24</v>
      </c>
      <c r="C13" t="s">
        <v>27</v>
      </c>
    </row>
    <row r="14" spans="2:7" x14ac:dyDescent="0.25">
      <c r="B14" t="s">
        <v>15</v>
      </c>
      <c r="C14" t="s">
        <v>28</v>
      </c>
    </row>
    <row r="15" spans="2:7" x14ac:dyDescent="0.25">
      <c r="B15" t="s">
        <v>25</v>
      </c>
      <c r="C15" t="s">
        <v>29</v>
      </c>
    </row>
    <row r="18" spans="3:3" x14ac:dyDescent="0.25">
      <c r="C18" s="2" t="s">
        <v>41</v>
      </c>
    </row>
    <row r="19" spans="3:3" x14ac:dyDescent="0.25">
      <c r="C19" s="1" t="s">
        <v>42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14"/>
  <sheetViews>
    <sheetView tabSelected="1" zoomScale="85" zoomScaleNormal="85" workbookViewId="0">
      <pane ySplit="1" topLeftCell="A2" activePane="bottomLeft" state="frozen"/>
      <selection pane="bottomLeft" activeCell="I14" sqref="I14"/>
    </sheetView>
  </sheetViews>
  <sheetFormatPr defaultRowHeight="15" x14ac:dyDescent="0.25"/>
  <cols>
    <col min="1" max="1" width="11.42578125" customWidth="1"/>
    <col min="2" max="2" width="15.7109375" customWidth="1"/>
    <col min="3" max="3" width="16.42578125" customWidth="1"/>
    <col min="4" max="4" width="16" customWidth="1"/>
    <col min="5" max="5" width="29.140625" customWidth="1"/>
    <col min="6" max="6" width="20.42578125" customWidth="1"/>
    <col min="7" max="7" width="53" customWidth="1"/>
    <col min="8" max="8" width="46.28515625" customWidth="1"/>
    <col min="9" max="9" width="80.5703125" customWidth="1"/>
    <col min="10" max="10" width="14.42578125" customWidth="1"/>
    <col min="11" max="11" width="19.140625" customWidth="1"/>
    <col min="12" max="12" width="17.7109375" customWidth="1"/>
    <col min="13" max="13" width="15.85546875" customWidth="1"/>
    <col min="14" max="14" width="14.85546875" customWidth="1"/>
  </cols>
  <sheetData>
    <row r="1" spans="1:97" s="8" customFormat="1" ht="100.5" customHeight="1" x14ac:dyDescent="0.25">
      <c r="A1" s="5" t="s">
        <v>0</v>
      </c>
      <c r="B1" s="5" t="s">
        <v>48</v>
      </c>
      <c r="C1" s="6" t="s">
        <v>49</v>
      </c>
      <c r="D1" s="7" t="s">
        <v>1</v>
      </c>
      <c r="E1" s="7" t="s">
        <v>50</v>
      </c>
      <c r="F1" s="5" t="s">
        <v>4</v>
      </c>
      <c r="G1" s="5" t="s">
        <v>51</v>
      </c>
      <c r="H1" s="5" t="s">
        <v>2</v>
      </c>
      <c r="I1" s="5" t="s">
        <v>207</v>
      </c>
      <c r="J1" s="5" t="s">
        <v>206</v>
      </c>
      <c r="K1" s="6" t="s">
        <v>74</v>
      </c>
      <c r="L1" s="6" t="s">
        <v>52</v>
      </c>
      <c r="M1" s="6" t="s">
        <v>53</v>
      </c>
      <c r="N1" s="6" t="s">
        <v>54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</row>
    <row r="2" spans="1:97" ht="14.25" customHeight="1" x14ac:dyDescent="0.25">
      <c r="A2" s="9" t="s">
        <v>43</v>
      </c>
      <c r="B2" s="9" t="s">
        <v>44</v>
      </c>
      <c r="C2" s="9" t="s">
        <v>6</v>
      </c>
      <c r="D2" s="9" t="s">
        <v>55</v>
      </c>
      <c r="E2" s="14" t="s">
        <v>60</v>
      </c>
      <c r="F2" s="9" t="s">
        <v>56</v>
      </c>
      <c r="G2" s="9" t="s">
        <v>5</v>
      </c>
      <c r="H2" s="9" t="str">
        <f>A2&amp;"_"&amp;B2&amp;"_"&amp;C2&amp;"_"&amp;D2&amp;"_"&amp;F2</f>
        <v>3О_БА_Г5_31151A_SIRCA_31151A</v>
      </c>
      <c r="I2" s="9" t="str">
        <f>E2&amp;". "&amp;G2&amp;""</f>
        <v>Бак промежуточный 
31151А
 32м3. Мешалка</v>
      </c>
      <c r="J2" s="9"/>
      <c r="K2" s="16" t="s">
        <v>75</v>
      </c>
      <c r="L2" s="9"/>
      <c r="M2" s="9"/>
      <c r="N2" s="9"/>
    </row>
    <row r="3" spans="1:97" x14ac:dyDescent="0.25">
      <c r="A3" s="9" t="s">
        <v>43</v>
      </c>
      <c r="B3" s="9" t="s">
        <v>44</v>
      </c>
      <c r="C3" s="9" t="s">
        <v>6</v>
      </c>
      <c r="D3" s="9" t="s">
        <v>55</v>
      </c>
      <c r="E3" s="14"/>
      <c r="F3" s="9" t="s">
        <v>57</v>
      </c>
      <c r="G3" s="9" t="s">
        <v>58</v>
      </c>
      <c r="H3" s="9" t="str">
        <f t="shared" ref="H3:H39" si="0">A3&amp;"_"&amp;B3&amp;"_"&amp;C3&amp;"_"&amp;D3&amp;"_"&amp;F3</f>
        <v>3О_БА_Г5_31151A_H_318511</v>
      </c>
      <c r="I3" s="9" t="str">
        <f>E2&amp;". "&amp;G3&amp;""</f>
        <v>Бак промежуточный 
31151А
 32м3. Локальный пульт управления мешалкой 31151А</v>
      </c>
      <c r="J3" s="9"/>
      <c r="K3" s="17"/>
      <c r="L3" s="9"/>
      <c r="M3" s="9"/>
      <c r="N3" s="9"/>
    </row>
    <row r="4" spans="1:97" x14ac:dyDescent="0.25">
      <c r="A4" s="9" t="s">
        <v>43</v>
      </c>
      <c r="B4" s="9" t="s">
        <v>44</v>
      </c>
      <c r="C4" s="9" t="s">
        <v>6</v>
      </c>
      <c r="D4" s="9" t="s">
        <v>55</v>
      </c>
      <c r="E4" s="15"/>
      <c r="F4" s="9" t="s">
        <v>62</v>
      </c>
      <c r="G4" s="9" t="s">
        <v>81</v>
      </c>
      <c r="H4" s="9" t="str">
        <f t="shared" ref="H4" si="1">A4&amp;"_"&amp;B4&amp;"_"&amp;C4&amp;"_"&amp;D4&amp;"_"&amp;F4</f>
        <v>3О_БА_Г5_31151A_LVSA 316511</v>
      </c>
      <c r="I4" s="9" t="str">
        <f>E2&amp;". "&amp;G4&amp;""</f>
        <v>Бак промежуточный 
31151А
 32м3. Кран c ЭП подачи суспензии</v>
      </c>
      <c r="J4" s="9"/>
      <c r="K4" s="17"/>
      <c r="L4" s="9"/>
      <c r="M4" s="9"/>
      <c r="N4" s="9"/>
    </row>
    <row r="5" spans="1:97" x14ac:dyDescent="0.25">
      <c r="A5" s="9" t="s">
        <v>43</v>
      </c>
      <c r="B5" s="9" t="s">
        <v>44</v>
      </c>
      <c r="C5" s="9" t="s">
        <v>6</v>
      </c>
      <c r="D5" s="9" t="s">
        <v>55</v>
      </c>
      <c r="E5" s="15"/>
      <c r="F5" s="9" t="s">
        <v>7</v>
      </c>
      <c r="G5" s="9" t="s">
        <v>82</v>
      </c>
      <c r="H5" s="9" t="str">
        <f t="shared" si="0"/>
        <v>3О_БА_Г5_31151A_TVSA 316512</v>
      </c>
      <c r="I5" s="9" t="str">
        <f>E2&amp;". "&amp;G5&amp;""</f>
        <v>Бак промежуточный 
31151А
 32м3. Кран c ЭП подачи пара перегретого</v>
      </c>
      <c r="J5" s="9"/>
      <c r="K5" s="17"/>
      <c r="L5" s="9"/>
      <c r="M5" s="9"/>
      <c r="N5" s="9"/>
    </row>
    <row r="6" spans="1:97" x14ac:dyDescent="0.25">
      <c r="A6" s="9" t="s">
        <v>43</v>
      </c>
      <c r="B6" s="9" t="s">
        <v>44</v>
      </c>
      <c r="C6" s="9" t="s">
        <v>6</v>
      </c>
      <c r="D6" s="9" t="s">
        <v>55</v>
      </c>
      <c r="E6" s="15"/>
      <c r="F6" s="9" t="s">
        <v>8</v>
      </c>
      <c r="G6" s="9" t="s">
        <v>83</v>
      </c>
      <c r="H6" s="9" t="str">
        <f t="shared" si="0"/>
        <v>3О_БА_Г5_31151A_LVSA 316513</v>
      </c>
      <c r="I6" s="9" t="str">
        <f>E2&amp;". "&amp;G6&amp;""</f>
        <v>Бак промежуточный 
31151А
 32м3. Кран c ЭП слива суспензии</v>
      </c>
      <c r="J6" s="9"/>
      <c r="K6" s="17"/>
      <c r="L6" s="9"/>
      <c r="M6" s="9"/>
      <c r="N6" s="9"/>
    </row>
    <row r="7" spans="1:97" ht="14.25" customHeight="1" x14ac:dyDescent="0.25">
      <c r="A7" s="9" t="s">
        <v>43</v>
      </c>
      <c r="B7" s="9" t="s">
        <v>44</v>
      </c>
      <c r="C7" s="9" t="s">
        <v>6</v>
      </c>
      <c r="D7" s="9" t="s">
        <v>55</v>
      </c>
      <c r="E7" s="15"/>
      <c r="F7" s="9" t="s">
        <v>67</v>
      </c>
      <c r="G7" s="9" t="s">
        <v>32</v>
      </c>
      <c r="H7" s="9" t="str">
        <f>A7&amp;"_"&amp;B7&amp;"_"&amp;C7&amp;"_"&amp;D7&amp;"_"&amp;F7</f>
        <v>3О_БА_Г5_31151A_NCSA_3115.11A</v>
      </c>
      <c r="I7" s="9" t="str">
        <f>E2&amp;". "&amp;G7&amp;""</f>
        <v>Бак промежуточный 
31151А
 32м3. Насос</v>
      </c>
      <c r="J7" s="9"/>
      <c r="K7" s="17"/>
      <c r="L7" s="9"/>
      <c r="M7" s="9"/>
      <c r="N7" s="9"/>
    </row>
    <row r="8" spans="1:97" x14ac:dyDescent="0.25">
      <c r="A8" s="9" t="s">
        <v>43</v>
      </c>
      <c r="B8" s="9" t="s">
        <v>44</v>
      </c>
      <c r="C8" s="9" t="s">
        <v>6</v>
      </c>
      <c r="D8" s="9" t="s">
        <v>55</v>
      </c>
      <c r="E8" s="15"/>
      <c r="F8" s="9" t="s">
        <v>68</v>
      </c>
      <c r="G8" s="9" t="s">
        <v>69</v>
      </c>
      <c r="H8" s="9" t="str">
        <f t="shared" ref="H8:H9" si="2">A8&amp;"_"&amp;B8&amp;"_"&amp;C8&amp;"_"&amp;D8&amp;"_"&amp;F8</f>
        <v>3О_БА_Г5_31151A_H_318512</v>
      </c>
      <c r="I8" s="9" t="str">
        <f>E2&amp;". "&amp;G8&amp;""</f>
        <v>Бак промежуточный 
31151А
 32м3. Локальный пульт управления насосом 3115.11А</v>
      </c>
      <c r="J8" s="9"/>
      <c r="K8" s="17"/>
      <c r="L8" s="9"/>
      <c r="M8" s="9"/>
      <c r="N8" s="9"/>
    </row>
    <row r="9" spans="1:97" x14ac:dyDescent="0.25">
      <c r="A9" s="9" t="s">
        <v>43</v>
      </c>
      <c r="B9" s="9" t="s">
        <v>44</v>
      </c>
      <c r="C9" s="9" t="s">
        <v>6</v>
      </c>
      <c r="D9" s="9" t="s">
        <v>55</v>
      </c>
      <c r="E9" s="15"/>
      <c r="F9" s="9" t="s">
        <v>72</v>
      </c>
      <c r="G9" s="9" t="s">
        <v>71</v>
      </c>
      <c r="H9" s="9" t="str">
        <f t="shared" si="2"/>
        <v>3О_БА_Г5_31151A_HL_318518</v>
      </c>
      <c r="I9" s="9" t="str">
        <f>E2&amp;". "&amp;G9&amp;""</f>
        <v>Бак промежуточный 
31151А
 32м3. Светосигнальная колонна</v>
      </c>
      <c r="J9" s="9"/>
      <c r="K9" s="17"/>
      <c r="L9" s="9"/>
      <c r="M9" s="9"/>
      <c r="N9" s="9"/>
    </row>
    <row r="10" spans="1:97" x14ac:dyDescent="0.25">
      <c r="A10" s="9" t="s">
        <v>43</v>
      </c>
      <c r="B10" s="9" t="s">
        <v>44</v>
      </c>
      <c r="C10" s="9" t="s">
        <v>6</v>
      </c>
      <c r="D10" s="9" t="s">
        <v>55</v>
      </c>
      <c r="E10" s="15"/>
      <c r="F10" s="9" t="s">
        <v>66</v>
      </c>
      <c r="G10" s="9" t="s">
        <v>73</v>
      </c>
      <c r="H10" s="9" t="str">
        <f>A10&amp;"_"&amp;B10&amp;"_"&amp;C10&amp;"_"&amp;D10&amp;"_"&amp;F10</f>
        <v>3О_БА_Г5_31151A_FSA_313511</v>
      </c>
      <c r="I10" s="9" t="str">
        <f>E2&amp;". "&amp;G10&amp;""</f>
        <v>Бак промежуточный 
31151А
 32м3. Датчик протока</v>
      </c>
      <c r="J10" s="9"/>
      <c r="K10" s="17"/>
      <c r="L10" s="9"/>
      <c r="M10" s="9"/>
      <c r="N10" s="9"/>
    </row>
    <row r="11" spans="1:97" x14ac:dyDescent="0.25">
      <c r="A11" s="9" t="s">
        <v>43</v>
      </c>
      <c r="B11" s="9" t="s">
        <v>44</v>
      </c>
      <c r="C11" s="9" t="s">
        <v>6</v>
      </c>
      <c r="D11" s="9" t="s">
        <v>55</v>
      </c>
      <c r="E11" s="15"/>
      <c r="F11" s="9" t="s">
        <v>61</v>
      </c>
      <c r="G11" s="9" t="s">
        <v>70</v>
      </c>
      <c r="H11" s="9" t="str">
        <f t="shared" ref="H11" si="3">A11&amp;"_"&amp;B11&amp;"_"&amp;C11&amp;"_"&amp;D11&amp;"_"&amp;F11</f>
        <v>3О_БА_Г5_31151A_LRCA_314511</v>
      </c>
      <c r="I11" s="9" t="str">
        <f>E2&amp;". "&amp;G11&amp;""</f>
        <v>Бак промежуточный 
31151А
 32м3. Датчик уровня гидростатический</v>
      </c>
      <c r="J11" s="9" t="s">
        <v>3</v>
      </c>
      <c r="K11" s="17"/>
      <c r="L11" s="9"/>
      <c r="M11" s="9"/>
      <c r="N11" s="9"/>
    </row>
    <row r="12" spans="1:97" x14ac:dyDescent="0.25">
      <c r="A12" s="9" t="s">
        <v>43</v>
      </c>
      <c r="B12" s="9" t="s">
        <v>44</v>
      </c>
      <c r="C12" s="9" t="s">
        <v>6</v>
      </c>
      <c r="D12" s="9" t="s">
        <v>55</v>
      </c>
      <c r="E12" s="15"/>
      <c r="F12" s="9" t="s">
        <v>63</v>
      </c>
      <c r="G12" s="9" t="s">
        <v>9</v>
      </c>
      <c r="H12" s="9" t="str">
        <f t="shared" si="0"/>
        <v>3О_БА_Г5_31151A_PRCA_312511</v>
      </c>
      <c r="I12" s="9" t="str">
        <f>E2&amp;". "&amp;G12&amp;""</f>
        <v>Бак промежуточный 
31151А
 32м3. Датчик давления</v>
      </c>
      <c r="J12" s="9" t="s">
        <v>59</v>
      </c>
      <c r="K12" s="17"/>
      <c r="L12" s="9"/>
      <c r="M12" s="9"/>
      <c r="N12" s="9"/>
    </row>
    <row r="13" spans="1:97" x14ac:dyDescent="0.25">
      <c r="A13" s="9" t="s">
        <v>43</v>
      </c>
      <c r="B13" s="9" t="s">
        <v>44</v>
      </c>
      <c r="C13" s="9" t="s">
        <v>6</v>
      </c>
      <c r="D13" s="9" t="s">
        <v>55</v>
      </c>
      <c r="E13" s="15"/>
      <c r="F13" s="9" t="s">
        <v>64</v>
      </c>
      <c r="G13" s="9" t="s">
        <v>65</v>
      </c>
      <c r="H13" s="9" t="str">
        <f t="shared" si="0"/>
        <v>3О_БА_Г5_31151A_TRCA_311511</v>
      </c>
      <c r="I13" s="9" t="str">
        <f>E2&amp;". "&amp;G13&amp;""</f>
        <v>Бак промежуточный 
31151А
 32м3. Датчик температуры</v>
      </c>
      <c r="J13" s="9" t="s">
        <v>76</v>
      </c>
      <c r="K13" s="18"/>
      <c r="L13" s="9"/>
      <c r="M13" s="9"/>
      <c r="N13" s="9"/>
    </row>
    <row r="14" spans="1:97" ht="14.25" customHeight="1" x14ac:dyDescent="0.25">
      <c r="A14" s="12" t="s">
        <v>43</v>
      </c>
      <c r="B14" s="12" t="s">
        <v>44</v>
      </c>
      <c r="C14" s="12" t="s">
        <v>6</v>
      </c>
      <c r="D14" s="12" t="s">
        <v>128</v>
      </c>
      <c r="E14" s="19" t="s">
        <v>129</v>
      </c>
      <c r="F14" s="12" t="s">
        <v>130</v>
      </c>
      <c r="G14" s="12" t="s">
        <v>5</v>
      </c>
      <c r="H14" s="12" t="str">
        <f>A14&amp;"_"&amp;B14&amp;"_"&amp;C14&amp;"_"&amp;D14&amp;"_"&amp;F14</f>
        <v>3О_БА_Г5_31151B_SIRCA_31151B</v>
      </c>
      <c r="I14" s="12"/>
      <c r="J14" s="12"/>
      <c r="K14" s="20" t="s">
        <v>160</v>
      </c>
      <c r="L14" s="12"/>
      <c r="M14" s="12"/>
      <c r="N14" s="12"/>
    </row>
    <row r="15" spans="1:97" x14ac:dyDescent="0.25">
      <c r="A15" s="12" t="s">
        <v>43</v>
      </c>
      <c r="B15" s="12" t="s">
        <v>44</v>
      </c>
      <c r="C15" s="12" t="s">
        <v>6</v>
      </c>
      <c r="D15" s="12" t="s">
        <v>128</v>
      </c>
      <c r="E15" s="19"/>
      <c r="F15" s="12" t="s">
        <v>131</v>
      </c>
      <c r="G15" s="12" t="s">
        <v>132</v>
      </c>
      <c r="H15" s="12" t="str">
        <f t="shared" ref="H15:H18" si="4">A15&amp;"_"&amp;B15&amp;"_"&amp;C15&amp;"_"&amp;D15&amp;"_"&amp;F15</f>
        <v>3О_БА_Г5_31151B_H_318521</v>
      </c>
      <c r="I15" s="12"/>
      <c r="J15" s="12"/>
      <c r="K15" s="20"/>
      <c r="L15" s="12"/>
      <c r="M15" s="12"/>
      <c r="N15" s="12"/>
    </row>
    <row r="16" spans="1:97" x14ac:dyDescent="0.25">
      <c r="A16" s="12" t="s">
        <v>43</v>
      </c>
      <c r="B16" s="12" t="s">
        <v>44</v>
      </c>
      <c r="C16" s="12" t="s">
        <v>6</v>
      </c>
      <c r="D16" s="12" t="s">
        <v>128</v>
      </c>
      <c r="E16" s="20"/>
      <c r="F16" s="12" t="s">
        <v>133</v>
      </c>
      <c r="G16" s="12" t="s">
        <v>81</v>
      </c>
      <c r="H16" s="12" t="str">
        <f t="shared" si="4"/>
        <v>3О_БА_Г5_31151B_LVSA 316521</v>
      </c>
      <c r="I16" s="12"/>
      <c r="J16" s="12"/>
      <c r="K16" s="20"/>
      <c r="L16" s="12"/>
      <c r="M16" s="12"/>
      <c r="N16" s="12"/>
    </row>
    <row r="17" spans="1:14" x14ac:dyDescent="0.25">
      <c r="A17" s="12" t="s">
        <v>43</v>
      </c>
      <c r="B17" s="12" t="s">
        <v>44</v>
      </c>
      <c r="C17" s="12" t="s">
        <v>6</v>
      </c>
      <c r="D17" s="12" t="s">
        <v>128</v>
      </c>
      <c r="E17" s="20"/>
      <c r="F17" s="12" t="s">
        <v>134</v>
      </c>
      <c r="G17" s="12" t="s">
        <v>82</v>
      </c>
      <c r="H17" s="12" t="str">
        <f t="shared" si="4"/>
        <v>3О_БА_Г5_31151B_TVSA 316522</v>
      </c>
      <c r="I17" s="12"/>
      <c r="J17" s="12"/>
      <c r="K17" s="20"/>
      <c r="L17" s="12"/>
      <c r="M17" s="12"/>
      <c r="N17" s="12"/>
    </row>
    <row r="18" spans="1:14" x14ac:dyDescent="0.25">
      <c r="A18" s="12" t="s">
        <v>43</v>
      </c>
      <c r="B18" s="12" t="s">
        <v>44</v>
      </c>
      <c r="C18" s="12" t="s">
        <v>6</v>
      </c>
      <c r="D18" s="12" t="s">
        <v>128</v>
      </c>
      <c r="E18" s="20"/>
      <c r="F18" s="12" t="s">
        <v>135</v>
      </c>
      <c r="G18" s="12" t="s">
        <v>83</v>
      </c>
      <c r="H18" s="12" t="str">
        <f t="shared" si="4"/>
        <v>3О_БА_Г5_31151B_LVSA 316523</v>
      </c>
      <c r="I18" s="12"/>
      <c r="J18" s="12"/>
      <c r="K18" s="20"/>
      <c r="L18" s="12"/>
      <c r="M18" s="12"/>
      <c r="N18" s="12"/>
    </row>
    <row r="19" spans="1:14" ht="14.25" customHeight="1" x14ac:dyDescent="0.25">
      <c r="A19" s="12" t="s">
        <v>43</v>
      </c>
      <c r="B19" s="12" t="s">
        <v>44</v>
      </c>
      <c r="C19" s="12" t="s">
        <v>6</v>
      </c>
      <c r="D19" s="12" t="s">
        <v>128</v>
      </c>
      <c r="E19" s="20"/>
      <c r="F19" s="12" t="s">
        <v>136</v>
      </c>
      <c r="G19" s="12" t="s">
        <v>32</v>
      </c>
      <c r="H19" s="12" t="str">
        <f>A19&amp;"_"&amp;B19&amp;"_"&amp;C19&amp;"_"&amp;D19&amp;"_"&amp;F19</f>
        <v>3О_БА_Г5_31151B_NCSA_3115.11B</v>
      </c>
      <c r="I19" s="12"/>
      <c r="J19" s="12"/>
      <c r="K19" s="20"/>
      <c r="L19" s="12"/>
      <c r="M19" s="12"/>
      <c r="N19" s="12"/>
    </row>
    <row r="20" spans="1:14" x14ac:dyDescent="0.25">
      <c r="A20" s="12" t="s">
        <v>43</v>
      </c>
      <c r="B20" s="12" t="s">
        <v>44</v>
      </c>
      <c r="C20" s="12" t="s">
        <v>6</v>
      </c>
      <c r="D20" s="12" t="s">
        <v>128</v>
      </c>
      <c r="E20" s="20"/>
      <c r="F20" s="12" t="s">
        <v>138</v>
      </c>
      <c r="G20" s="12" t="s">
        <v>137</v>
      </c>
      <c r="H20" s="12" t="str">
        <f t="shared" ref="H20:H25" si="5">A20&amp;"_"&amp;B20&amp;"_"&amp;C20&amp;"_"&amp;D20&amp;"_"&amp;F20</f>
        <v>3О_БА_Г5_31151B_H_318522</v>
      </c>
      <c r="I20" s="12"/>
      <c r="J20" s="12"/>
      <c r="K20" s="20"/>
      <c r="L20" s="12"/>
      <c r="M20" s="12"/>
      <c r="N20" s="12"/>
    </row>
    <row r="21" spans="1:14" x14ac:dyDescent="0.25">
      <c r="A21" s="12" t="s">
        <v>43</v>
      </c>
      <c r="B21" s="12" t="s">
        <v>44</v>
      </c>
      <c r="C21" s="12" t="s">
        <v>6</v>
      </c>
      <c r="D21" s="12" t="s">
        <v>128</v>
      </c>
      <c r="E21" s="20"/>
      <c r="F21" s="12" t="s">
        <v>139</v>
      </c>
      <c r="G21" s="12" t="s">
        <v>71</v>
      </c>
      <c r="H21" s="12" t="str">
        <f t="shared" si="5"/>
        <v>3О_БА_Г5_31151B_HL_318528</v>
      </c>
      <c r="I21" s="12"/>
      <c r="J21" s="12"/>
      <c r="K21" s="20"/>
      <c r="L21" s="12"/>
      <c r="M21" s="12"/>
      <c r="N21" s="12"/>
    </row>
    <row r="22" spans="1:14" x14ac:dyDescent="0.25">
      <c r="A22" s="12" t="s">
        <v>43</v>
      </c>
      <c r="B22" s="12" t="s">
        <v>44</v>
      </c>
      <c r="C22" s="12" t="s">
        <v>6</v>
      </c>
      <c r="D22" s="12" t="s">
        <v>128</v>
      </c>
      <c r="E22" s="20"/>
      <c r="F22" s="12" t="s">
        <v>140</v>
      </c>
      <c r="G22" s="12" t="s">
        <v>73</v>
      </c>
      <c r="H22" s="12" t="str">
        <f t="shared" si="5"/>
        <v>3О_БА_Г5_31151B_FSA_313521</v>
      </c>
      <c r="I22" s="12"/>
      <c r="J22" s="12"/>
      <c r="K22" s="20"/>
      <c r="L22" s="12"/>
      <c r="M22" s="12"/>
      <c r="N22" s="12"/>
    </row>
    <row r="23" spans="1:14" x14ac:dyDescent="0.25">
      <c r="A23" s="12" t="s">
        <v>43</v>
      </c>
      <c r="B23" s="12" t="s">
        <v>44</v>
      </c>
      <c r="C23" s="12" t="s">
        <v>6</v>
      </c>
      <c r="D23" s="12" t="s">
        <v>128</v>
      </c>
      <c r="E23" s="20"/>
      <c r="F23" s="12" t="s">
        <v>141</v>
      </c>
      <c r="G23" s="12" t="s">
        <v>70</v>
      </c>
      <c r="H23" s="12" t="str">
        <f t="shared" si="5"/>
        <v>3О_БА_Г5_31151B_LRCA_314521</v>
      </c>
      <c r="I23" s="12"/>
      <c r="J23" s="12" t="s">
        <v>3</v>
      </c>
      <c r="K23" s="20"/>
      <c r="L23" s="12"/>
      <c r="M23" s="12"/>
      <c r="N23" s="12"/>
    </row>
    <row r="24" spans="1:14" x14ac:dyDescent="0.25">
      <c r="A24" s="12" t="s">
        <v>43</v>
      </c>
      <c r="B24" s="12" t="s">
        <v>44</v>
      </c>
      <c r="C24" s="12" t="s">
        <v>6</v>
      </c>
      <c r="D24" s="12" t="s">
        <v>128</v>
      </c>
      <c r="E24" s="20"/>
      <c r="F24" s="12" t="s">
        <v>142</v>
      </c>
      <c r="G24" s="12" t="s">
        <v>9</v>
      </c>
      <c r="H24" s="12" t="str">
        <f t="shared" si="5"/>
        <v>3О_БА_Г5_31151B_PRCA_312521</v>
      </c>
      <c r="I24" s="12"/>
      <c r="J24" s="12" t="s">
        <v>59</v>
      </c>
      <c r="K24" s="20"/>
      <c r="L24" s="12"/>
      <c r="M24" s="12"/>
      <c r="N24" s="12"/>
    </row>
    <row r="25" spans="1:14" x14ac:dyDescent="0.25">
      <c r="A25" s="12" t="s">
        <v>43</v>
      </c>
      <c r="B25" s="12" t="s">
        <v>44</v>
      </c>
      <c r="C25" s="12" t="s">
        <v>6</v>
      </c>
      <c r="D25" s="12" t="s">
        <v>128</v>
      </c>
      <c r="E25" s="20"/>
      <c r="F25" s="12" t="s">
        <v>143</v>
      </c>
      <c r="G25" s="12" t="s">
        <v>65</v>
      </c>
      <c r="H25" s="12" t="str">
        <f t="shared" si="5"/>
        <v>3О_БА_Г5_31151B_TRCA_311521</v>
      </c>
      <c r="I25" s="12"/>
      <c r="J25" s="12" t="s">
        <v>76</v>
      </c>
      <c r="K25" s="20"/>
      <c r="L25" s="12"/>
      <c r="M25" s="12"/>
      <c r="N25" s="12"/>
    </row>
    <row r="26" spans="1:14" x14ac:dyDescent="0.25">
      <c r="A26" s="9" t="s">
        <v>43</v>
      </c>
      <c r="B26" s="9" t="s">
        <v>44</v>
      </c>
      <c r="C26" s="9" t="s">
        <v>6</v>
      </c>
      <c r="D26" s="10">
        <v>31161</v>
      </c>
      <c r="E26" s="14" t="s">
        <v>147</v>
      </c>
      <c r="F26" s="9" t="s">
        <v>77</v>
      </c>
      <c r="G26" s="9" t="s">
        <v>5</v>
      </c>
      <c r="H26" s="9" t="str">
        <f t="shared" si="0"/>
        <v>3О_БА_Г5_31161_SIRCA_31161</v>
      </c>
      <c r="I26" s="9"/>
      <c r="J26" s="9"/>
      <c r="K26" s="15"/>
      <c r="L26" s="9"/>
      <c r="M26" s="9"/>
      <c r="N26" s="9"/>
    </row>
    <row r="27" spans="1:14" x14ac:dyDescent="0.25">
      <c r="A27" s="9" t="s">
        <v>43</v>
      </c>
      <c r="B27" s="9" t="s">
        <v>44</v>
      </c>
      <c r="C27" s="9" t="s">
        <v>6</v>
      </c>
      <c r="D27" s="10">
        <v>31161</v>
      </c>
      <c r="E27" s="15"/>
      <c r="F27" s="9" t="s">
        <v>78</v>
      </c>
      <c r="G27" s="9" t="s">
        <v>79</v>
      </c>
      <c r="H27" s="9" t="str">
        <f t="shared" si="0"/>
        <v>3О_БА_Г5_31161_H_318531</v>
      </c>
      <c r="I27" s="9"/>
      <c r="J27" s="9"/>
      <c r="K27" s="15"/>
      <c r="L27" s="9"/>
      <c r="M27" s="9"/>
      <c r="N27" s="9"/>
    </row>
    <row r="28" spans="1:14" x14ac:dyDescent="0.25">
      <c r="A28" s="9" t="s">
        <v>43</v>
      </c>
      <c r="B28" s="9" t="s">
        <v>44</v>
      </c>
      <c r="C28" s="9" t="s">
        <v>6</v>
      </c>
      <c r="D28" s="10">
        <v>31161</v>
      </c>
      <c r="E28" s="15"/>
      <c r="F28" s="9" t="s">
        <v>80</v>
      </c>
      <c r="G28" s="9" t="s">
        <v>85</v>
      </c>
      <c r="H28" s="9" t="str">
        <f t="shared" si="0"/>
        <v>3О_БА_Г5_31161_AVSA 316536</v>
      </c>
      <c r="I28" s="9"/>
      <c r="J28" s="9"/>
      <c r="K28" s="15"/>
      <c r="L28" s="9"/>
      <c r="M28" s="9"/>
      <c r="N28" s="9"/>
    </row>
    <row r="29" spans="1:14" x14ac:dyDescent="0.25">
      <c r="A29" s="9" t="s">
        <v>43</v>
      </c>
      <c r="B29" s="9" t="s">
        <v>44</v>
      </c>
      <c r="C29" s="9" t="s">
        <v>6</v>
      </c>
      <c r="D29" s="10">
        <v>31161</v>
      </c>
      <c r="E29" s="15"/>
      <c r="F29" s="9" t="s">
        <v>84</v>
      </c>
      <c r="G29" s="9" t="s">
        <v>81</v>
      </c>
      <c r="H29" s="9" t="str">
        <f t="shared" si="0"/>
        <v>3О_БА_Г5_31161_LVSA 316531</v>
      </c>
      <c r="I29" s="9"/>
      <c r="J29" s="9"/>
      <c r="K29" s="15"/>
      <c r="L29" s="9"/>
      <c r="M29" s="9"/>
      <c r="N29" s="9"/>
    </row>
    <row r="30" spans="1:14" x14ac:dyDescent="0.25">
      <c r="A30" s="9" t="s">
        <v>43</v>
      </c>
      <c r="B30" s="9" t="s">
        <v>44</v>
      </c>
      <c r="C30" s="9" t="s">
        <v>6</v>
      </c>
      <c r="D30" s="10">
        <v>31161</v>
      </c>
      <c r="E30" s="15"/>
      <c r="F30" s="9" t="s">
        <v>86</v>
      </c>
      <c r="G30" s="9" t="s">
        <v>82</v>
      </c>
      <c r="H30" s="9" t="str">
        <f t="shared" si="0"/>
        <v>3О_БА_Г5_31161_TVSA 316532</v>
      </c>
      <c r="I30" s="9"/>
      <c r="J30" s="9"/>
      <c r="K30" s="15"/>
      <c r="L30" s="9"/>
      <c r="M30" s="9"/>
      <c r="N30" s="9"/>
    </row>
    <row r="31" spans="1:14" x14ac:dyDescent="0.25">
      <c r="A31" s="9" t="s">
        <v>43</v>
      </c>
      <c r="B31" s="9" t="s">
        <v>44</v>
      </c>
      <c r="C31" s="9" t="s">
        <v>6</v>
      </c>
      <c r="D31" s="10">
        <v>31161</v>
      </c>
      <c r="E31" s="15"/>
      <c r="F31" s="9" t="s">
        <v>88</v>
      </c>
      <c r="G31" s="9" t="s">
        <v>82</v>
      </c>
      <c r="H31" s="9" t="str">
        <f t="shared" si="0"/>
        <v>3О_БА_Г5_31161_TVSA 316534</v>
      </c>
      <c r="I31" s="9"/>
      <c r="J31" s="9"/>
      <c r="K31" s="15"/>
      <c r="L31" s="9"/>
      <c r="M31" s="9"/>
      <c r="N31" s="9"/>
    </row>
    <row r="32" spans="1:14" x14ac:dyDescent="0.25">
      <c r="A32" s="9" t="s">
        <v>43</v>
      </c>
      <c r="B32" s="9" t="s">
        <v>44</v>
      </c>
      <c r="C32" s="9" t="s">
        <v>6</v>
      </c>
      <c r="D32" s="10">
        <v>31161</v>
      </c>
      <c r="E32" s="15"/>
      <c r="F32" s="9" t="s">
        <v>87</v>
      </c>
      <c r="G32" s="9" t="s">
        <v>83</v>
      </c>
      <c r="H32" s="9" t="str">
        <f t="shared" si="0"/>
        <v>3О_БА_Г5_31161_LVSA 316535</v>
      </c>
      <c r="I32" s="9"/>
      <c r="J32" s="9"/>
      <c r="K32" s="15"/>
      <c r="L32" s="9"/>
      <c r="M32" s="9"/>
      <c r="N32" s="9"/>
    </row>
    <row r="33" spans="1:14" x14ac:dyDescent="0.25">
      <c r="A33" s="9" t="s">
        <v>43</v>
      </c>
      <c r="B33" s="9" t="s">
        <v>44</v>
      </c>
      <c r="C33" s="9" t="s">
        <v>6</v>
      </c>
      <c r="D33" s="10">
        <v>31161</v>
      </c>
      <c r="E33" s="15"/>
      <c r="F33" s="9" t="s">
        <v>89</v>
      </c>
      <c r="G33" s="9" t="s">
        <v>107</v>
      </c>
      <c r="H33" s="9" t="str">
        <f t="shared" si="0"/>
        <v>3О_БА_Г5_31161_AVSA 316533</v>
      </c>
      <c r="I33" s="9"/>
      <c r="J33" s="9"/>
      <c r="K33" s="15"/>
      <c r="L33" s="9"/>
      <c r="M33" s="9"/>
      <c r="N33" s="9"/>
    </row>
    <row r="34" spans="1:14" x14ac:dyDescent="0.25">
      <c r="A34" s="9" t="s">
        <v>43</v>
      </c>
      <c r="B34" s="9" t="s">
        <v>44</v>
      </c>
      <c r="C34" s="9" t="s">
        <v>6</v>
      </c>
      <c r="D34" s="10">
        <v>31161</v>
      </c>
      <c r="E34" s="15"/>
      <c r="F34" s="9" t="s">
        <v>90</v>
      </c>
      <c r="G34" s="9" t="s">
        <v>71</v>
      </c>
      <c r="H34" s="9" t="str">
        <f t="shared" si="0"/>
        <v>3О_БА_Г5_31161_HL_318538</v>
      </c>
      <c r="I34" s="9"/>
      <c r="J34" s="9"/>
      <c r="K34" s="15"/>
      <c r="L34" s="9"/>
      <c r="M34" s="9"/>
      <c r="N34" s="9"/>
    </row>
    <row r="35" spans="1:14" x14ac:dyDescent="0.25">
      <c r="A35" s="9" t="s">
        <v>43</v>
      </c>
      <c r="B35" s="9" t="s">
        <v>44</v>
      </c>
      <c r="C35" s="9" t="s">
        <v>6</v>
      </c>
      <c r="D35" s="10">
        <v>31161</v>
      </c>
      <c r="E35" s="15"/>
      <c r="F35" s="9" t="s">
        <v>91</v>
      </c>
      <c r="G35" s="9" t="s">
        <v>73</v>
      </c>
      <c r="H35" s="9" t="str">
        <f t="shared" si="0"/>
        <v>3О_БА_Г5_31161_FSA_313531</v>
      </c>
      <c r="I35" s="9"/>
      <c r="J35" s="9"/>
      <c r="K35" s="15"/>
      <c r="L35" s="9"/>
      <c r="M35" s="9"/>
      <c r="N35" s="9"/>
    </row>
    <row r="36" spans="1:14" x14ac:dyDescent="0.25">
      <c r="A36" s="9" t="s">
        <v>43</v>
      </c>
      <c r="B36" s="9" t="s">
        <v>44</v>
      </c>
      <c r="C36" s="9" t="s">
        <v>6</v>
      </c>
      <c r="D36" s="10">
        <v>31161</v>
      </c>
      <c r="E36" s="15"/>
      <c r="F36" s="9" t="s">
        <v>92</v>
      </c>
      <c r="G36" s="9" t="s">
        <v>70</v>
      </c>
      <c r="H36" s="9" t="str">
        <f t="shared" si="0"/>
        <v>3О_БА_Г5_31161_LRCA_314531</v>
      </c>
      <c r="I36" s="9"/>
      <c r="J36" s="9"/>
      <c r="K36" s="15"/>
      <c r="L36" s="9"/>
      <c r="M36" s="9"/>
      <c r="N36" s="9"/>
    </row>
    <row r="37" spans="1:14" x14ac:dyDescent="0.25">
      <c r="A37" s="9" t="s">
        <v>43</v>
      </c>
      <c r="B37" s="9" t="s">
        <v>44</v>
      </c>
      <c r="C37" s="9" t="s">
        <v>6</v>
      </c>
      <c r="D37" s="10">
        <v>31161</v>
      </c>
      <c r="E37" s="15"/>
      <c r="F37" s="9" t="s">
        <v>93</v>
      </c>
      <c r="G37" s="9" t="s">
        <v>65</v>
      </c>
      <c r="H37" s="9" t="str">
        <f t="shared" si="0"/>
        <v>3О_БА_Г5_31161_TRCA_311531</v>
      </c>
      <c r="I37" s="9"/>
      <c r="J37" s="9"/>
      <c r="K37" s="15"/>
      <c r="L37" s="9"/>
      <c r="M37" s="9"/>
      <c r="N37" s="9"/>
    </row>
    <row r="38" spans="1:14" x14ac:dyDescent="0.25">
      <c r="A38" s="9" t="s">
        <v>43</v>
      </c>
      <c r="B38" s="9" t="s">
        <v>44</v>
      </c>
      <c r="C38" s="9" t="s">
        <v>6</v>
      </c>
      <c r="D38" s="10">
        <v>31161</v>
      </c>
      <c r="E38" s="15"/>
      <c r="F38" s="9" t="s">
        <v>94</v>
      </c>
      <c r="G38" s="9" t="s">
        <v>65</v>
      </c>
      <c r="H38" s="9" t="str">
        <f t="shared" si="0"/>
        <v>3О_БА_Г5_31161_TRCA_311532</v>
      </c>
      <c r="I38" s="9"/>
      <c r="J38" s="9"/>
      <c r="K38" s="15"/>
      <c r="L38" s="9"/>
      <c r="M38" s="9"/>
      <c r="N38" s="9"/>
    </row>
    <row r="39" spans="1:14" x14ac:dyDescent="0.25">
      <c r="A39" s="9" t="s">
        <v>43</v>
      </c>
      <c r="B39" s="9" t="s">
        <v>44</v>
      </c>
      <c r="C39" s="9" t="s">
        <v>6</v>
      </c>
      <c r="D39" s="10">
        <v>31161</v>
      </c>
      <c r="E39" s="15"/>
      <c r="F39" s="9" t="s">
        <v>97</v>
      </c>
      <c r="G39" s="9" t="s">
        <v>96</v>
      </c>
      <c r="H39" s="9" t="str">
        <f t="shared" si="0"/>
        <v>3О_БА_Г5_31161_ARCSA_315531</v>
      </c>
      <c r="I39" s="9"/>
      <c r="J39" s="9"/>
      <c r="K39" s="15"/>
      <c r="L39" s="9"/>
      <c r="M39" s="9"/>
      <c r="N39" s="9"/>
    </row>
    <row r="40" spans="1:14" x14ac:dyDescent="0.25">
      <c r="A40" s="12" t="s">
        <v>43</v>
      </c>
      <c r="B40" s="12" t="s">
        <v>44</v>
      </c>
      <c r="C40" s="12" t="s">
        <v>6</v>
      </c>
      <c r="D40" s="13">
        <v>31171</v>
      </c>
      <c r="E40" s="19" t="s">
        <v>146</v>
      </c>
      <c r="F40" s="12" t="s">
        <v>98</v>
      </c>
      <c r="G40" s="12" t="s">
        <v>5</v>
      </c>
      <c r="H40" s="12" t="str">
        <f t="shared" ref="H40:H67" si="6">A40&amp;"_"&amp;B40&amp;"_"&amp;C40&amp;"_"&amp;D40&amp;"_"&amp;F40</f>
        <v>3О_БА_Г5_31171_SIRCA_31171</v>
      </c>
      <c r="I40" s="12"/>
      <c r="J40" s="12"/>
      <c r="K40" s="20"/>
      <c r="L40" s="12"/>
      <c r="M40" s="12"/>
      <c r="N40" s="12"/>
    </row>
    <row r="41" spans="1:14" x14ac:dyDescent="0.25">
      <c r="A41" s="12" t="s">
        <v>43</v>
      </c>
      <c r="B41" s="12" t="s">
        <v>44</v>
      </c>
      <c r="C41" s="12" t="s">
        <v>6</v>
      </c>
      <c r="D41" s="13">
        <v>31171</v>
      </c>
      <c r="E41" s="20"/>
      <c r="F41" s="12" t="s">
        <v>99</v>
      </c>
      <c r="G41" s="12" t="s">
        <v>100</v>
      </c>
      <c r="H41" s="12" t="str">
        <f t="shared" si="6"/>
        <v>3О_БА_Г5_31171_H_318541</v>
      </c>
      <c r="I41" s="12"/>
      <c r="J41" s="12"/>
      <c r="K41" s="20"/>
      <c r="L41" s="12"/>
      <c r="M41" s="12"/>
      <c r="N41" s="12"/>
    </row>
    <row r="42" spans="1:14" x14ac:dyDescent="0.25">
      <c r="A42" s="12" t="s">
        <v>43</v>
      </c>
      <c r="B42" s="12" t="s">
        <v>44</v>
      </c>
      <c r="C42" s="12" t="s">
        <v>6</v>
      </c>
      <c r="D42" s="13">
        <v>31171</v>
      </c>
      <c r="E42" s="20"/>
      <c r="F42" s="12" t="s">
        <v>105</v>
      </c>
      <c r="G42" s="12" t="s">
        <v>81</v>
      </c>
      <c r="H42" s="12" t="str">
        <f t="shared" si="6"/>
        <v>3О_БА_Г5_31171_LVSA 316541</v>
      </c>
      <c r="I42" s="12"/>
      <c r="J42" s="12"/>
      <c r="K42" s="20"/>
      <c r="L42" s="12"/>
      <c r="M42" s="12"/>
      <c r="N42" s="12"/>
    </row>
    <row r="43" spans="1:14" x14ac:dyDescent="0.25">
      <c r="A43" s="12" t="s">
        <v>43</v>
      </c>
      <c r="B43" s="12" t="s">
        <v>44</v>
      </c>
      <c r="C43" s="12" t="s">
        <v>6</v>
      </c>
      <c r="D43" s="13">
        <v>31171</v>
      </c>
      <c r="E43" s="20"/>
      <c r="F43" s="12" t="s">
        <v>101</v>
      </c>
      <c r="G43" s="12" t="s">
        <v>81</v>
      </c>
      <c r="H43" s="12" t="str">
        <f t="shared" ref="H43" si="7">A43&amp;"_"&amp;B43&amp;"_"&amp;C43&amp;"_"&amp;D43&amp;"_"&amp;F43</f>
        <v>3О_БА_Г5_31171_LVSA 316542</v>
      </c>
      <c r="I43" s="12"/>
      <c r="J43" s="12"/>
      <c r="K43" s="20"/>
      <c r="L43" s="12"/>
      <c r="M43" s="12"/>
      <c r="N43" s="12"/>
    </row>
    <row r="44" spans="1:14" x14ac:dyDescent="0.25">
      <c r="A44" s="12" t="s">
        <v>43</v>
      </c>
      <c r="B44" s="12" t="s">
        <v>44</v>
      </c>
      <c r="C44" s="12" t="s">
        <v>6</v>
      </c>
      <c r="D44" s="13">
        <v>31171</v>
      </c>
      <c r="E44" s="20"/>
      <c r="F44" s="12" t="s">
        <v>102</v>
      </c>
      <c r="G44" s="12" t="s">
        <v>82</v>
      </c>
      <c r="H44" s="12" t="str">
        <f t="shared" si="6"/>
        <v>3О_БА_Г5_31171_TVSA 316543</v>
      </c>
      <c r="I44" s="12"/>
      <c r="J44" s="12"/>
      <c r="K44" s="20"/>
      <c r="L44" s="12"/>
      <c r="M44" s="12"/>
      <c r="N44" s="12"/>
    </row>
    <row r="45" spans="1:14" x14ac:dyDescent="0.25">
      <c r="A45" s="12" t="s">
        <v>43</v>
      </c>
      <c r="B45" s="12" t="s">
        <v>44</v>
      </c>
      <c r="C45" s="12" t="s">
        <v>6</v>
      </c>
      <c r="D45" s="13">
        <v>31171</v>
      </c>
      <c r="E45" s="20"/>
      <c r="F45" s="12" t="s">
        <v>103</v>
      </c>
      <c r="G45" s="12" t="s">
        <v>82</v>
      </c>
      <c r="H45" s="12" t="str">
        <f t="shared" si="6"/>
        <v>3О_БА_Г5_31171_TVSA 316545</v>
      </c>
      <c r="I45" s="12"/>
      <c r="J45" s="12"/>
      <c r="K45" s="20"/>
      <c r="L45" s="12"/>
      <c r="M45" s="12"/>
      <c r="N45" s="12"/>
    </row>
    <row r="46" spans="1:14" x14ac:dyDescent="0.25">
      <c r="A46" s="12" t="s">
        <v>43</v>
      </c>
      <c r="B46" s="12" t="s">
        <v>44</v>
      </c>
      <c r="C46" s="12" t="s">
        <v>6</v>
      </c>
      <c r="D46" s="13">
        <v>31171</v>
      </c>
      <c r="E46" s="20"/>
      <c r="F46" s="12" t="s">
        <v>104</v>
      </c>
      <c r="G46" s="12" t="s">
        <v>83</v>
      </c>
      <c r="H46" s="12" t="str">
        <f t="shared" si="6"/>
        <v>3О_БА_Г5_31171_LVSA 316546</v>
      </c>
      <c r="I46" s="12"/>
      <c r="J46" s="12"/>
      <c r="K46" s="20"/>
      <c r="L46" s="12"/>
      <c r="M46" s="12"/>
      <c r="N46" s="12"/>
    </row>
    <row r="47" spans="1:14" x14ac:dyDescent="0.25">
      <c r="A47" s="12" t="s">
        <v>43</v>
      </c>
      <c r="B47" s="12" t="s">
        <v>44</v>
      </c>
      <c r="C47" s="12" t="s">
        <v>6</v>
      </c>
      <c r="D47" s="13">
        <v>31171</v>
      </c>
      <c r="E47" s="20"/>
      <c r="F47" s="12" t="s">
        <v>106</v>
      </c>
      <c r="G47" s="12" t="s">
        <v>107</v>
      </c>
      <c r="H47" s="12" t="str">
        <f t="shared" si="6"/>
        <v>3О_БА_Г5_31171_AVSA 316544</v>
      </c>
      <c r="I47" s="12"/>
      <c r="J47" s="12"/>
      <c r="K47" s="20"/>
      <c r="L47" s="12"/>
      <c r="M47" s="12"/>
      <c r="N47" s="12"/>
    </row>
    <row r="48" spans="1:14" x14ac:dyDescent="0.25">
      <c r="A48" s="12" t="s">
        <v>43</v>
      </c>
      <c r="B48" s="12" t="s">
        <v>44</v>
      </c>
      <c r="C48" s="12" t="s">
        <v>6</v>
      </c>
      <c r="D48" s="13">
        <v>31171</v>
      </c>
      <c r="E48" s="20"/>
      <c r="F48" s="12" t="s">
        <v>108</v>
      </c>
      <c r="G48" s="12" t="s">
        <v>71</v>
      </c>
      <c r="H48" s="12" t="str">
        <f t="shared" si="6"/>
        <v>3О_БА_Г5_31171_HL_318548</v>
      </c>
      <c r="I48" s="12"/>
      <c r="J48" s="12"/>
      <c r="K48" s="20"/>
      <c r="L48" s="12"/>
      <c r="M48" s="12"/>
      <c r="N48" s="12"/>
    </row>
    <row r="49" spans="1:14" x14ac:dyDescent="0.25">
      <c r="A49" s="12" t="s">
        <v>43</v>
      </c>
      <c r="B49" s="12" t="s">
        <v>44</v>
      </c>
      <c r="C49" s="12" t="s">
        <v>6</v>
      </c>
      <c r="D49" s="13">
        <v>31171</v>
      </c>
      <c r="E49" s="20"/>
      <c r="F49" s="12" t="s">
        <v>109</v>
      </c>
      <c r="G49" s="12" t="s">
        <v>73</v>
      </c>
      <c r="H49" s="12" t="str">
        <f t="shared" si="6"/>
        <v>3О_БА_Г5_31171_FSA_313541</v>
      </c>
      <c r="I49" s="12"/>
      <c r="J49" s="12"/>
      <c r="K49" s="20"/>
      <c r="L49" s="12"/>
      <c r="M49" s="12"/>
      <c r="N49" s="12"/>
    </row>
    <row r="50" spans="1:14" x14ac:dyDescent="0.25">
      <c r="A50" s="12" t="s">
        <v>43</v>
      </c>
      <c r="B50" s="12" t="s">
        <v>44</v>
      </c>
      <c r="C50" s="12" t="s">
        <v>6</v>
      </c>
      <c r="D50" s="13">
        <v>31171</v>
      </c>
      <c r="E50" s="20"/>
      <c r="F50" s="12" t="s">
        <v>110</v>
      </c>
      <c r="G50" s="12" t="s">
        <v>70</v>
      </c>
      <c r="H50" s="12" t="str">
        <f t="shared" si="6"/>
        <v>3О_БА_Г5_31171_LRCA_314541</v>
      </c>
      <c r="I50" s="12"/>
      <c r="J50" s="12"/>
      <c r="K50" s="20"/>
      <c r="L50" s="12"/>
      <c r="M50" s="12"/>
      <c r="N50" s="12"/>
    </row>
    <row r="51" spans="1:14" x14ac:dyDescent="0.25">
      <c r="A51" s="12" t="s">
        <v>43</v>
      </c>
      <c r="B51" s="12" t="s">
        <v>44</v>
      </c>
      <c r="C51" s="12" t="s">
        <v>6</v>
      </c>
      <c r="D51" s="13">
        <v>31171</v>
      </c>
      <c r="E51" s="20"/>
      <c r="F51" s="12" t="s">
        <v>111</v>
      </c>
      <c r="G51" s="12" t="s">
        <v>65</v>
      </c>
      <c r="H51" s="12" t="str">
        <f t="shared" si="6"/>
        <v>3О_БА_Г5_31171_TRCA_311541</v>
      </c>
      <c r="I51" s="12"/>
      <c r="J51" s="12"/>
      <c r="K51" s="20"/>
      <c r="L51" s="12"/>
      <c r="M51" s="12"/>
      <c r="N51" s="12"/>
    </row>
    <row r="52" spans="1:14" x14ac:dyDescent="0.25">
      <c r="A52" s="12" t="s">
        <v>43</v>
      </c>
      <c r="B52" s="12" t="s">
        <v>44</v>
      </c>
      <c r="C52" s="12" t="s">
        <v>6</v>
      </c>
      <c r="D52" s="13">
        <v>31171</v>
      </c>
      <c r="E52" s="20"/>
      <c r="F52" s="12" t="s">
        <v>112</v>
      </c>
      <c r="G52" s="12" t="s">
        <v>65</v>
      </c>
      <c r="H52" s="12" t="str">
        <f t="shared" si="6"/>
        <v>3О_БА_Г5_31171_TRCA_311542</v>
      </c>
      <c r="I52" s="12"/>
      <c r="J52" s="12"/>
      <c r="K52" s="20"/>
      <c r="L52" s="12"/>
      <c r="M52" s="12"/>
      <c r="N52" s="12"/>
    </row>
    <row r="53" spans="1:14" x14ac:dyDescent="0.25">
      <c r="A53" s="12" t="s">
        <v>43</v>
      </c>
      <c r="B53" s="12" t="s">
        <v>44</v>
      </c>
      <c r="C53" s="12" t="s">
        <v>6</v>
      </c>
      <c r="D53" s="13">
        <v>31171</v>
      </c>
      <c r="E53" s="20"/>
      <c r="F53" s="12" t="s">
        <v>113</v>
      </c>
      <c r="G53" s="12" t="s">
        <v>96</v>
      </c>
      <c r="H53" s="12" t="str">
        <f t="shared" si="6"/>
        <v>3О_БА_Г5_31171_ARCSA_315541</v>
      </c>
      <c r="I53" s="12"/>
      <c r="J53" s="12"/>
      <c r="K53" s="20"/>
      <c r="L53" s="12"/>
      <c r="M53" s="12"/>
      <c r="N53" s="12"/>
    </row>
    <row r="54" spans="1:14" x14ac:dyDescent="0.25">
      <c r="A54" s="9" t="s">
        <v>43</v>
      </c>
      <c r="B54" s="9" t="s">
        <v>44</v>
      </c>
      <c r="C54" s="9" t="s">
        <v>6</v>
      </c>
      <c r="D54" s="10">
        <v>31181</v>
      </c>
      <c r="E54" s="14" t="s">
        <v>145</v>
      </c>
      <c r="F54" s="9" t="s">
        <v>114</v>
      </c>
      <c r="G54" s="9" t="s">
        <v>5</v>
      </c>
      <c r="H54" s="9" t="str">
        <f t="shared" si="6"/>
        <v>3О_БА_Г5_31181_SIRCA_31181</v>
      </c>
      <c r="I54" s="9"/>
      <c r="J54" s="9"/>
      <c r="K54" s="15"/>
      <c r="L54" s="9"/>
      <c r="M54" s="9"/>
      <c r="N54" s="9"/>
    </row>
    <row r="55" spans="1:14" x14ac:dyDescent="0.25">
      <c r="A55" s="9" t="s">
        <v>43</v>
      </c>
      <c r="B55" s="9" t="s">
        <v>44</v>
      </c>
      <c r="C55" s="9" t="s">
        <v>6</v>
      </c>
      <c r="D55" s="10">
        <v>31181</v>
      </c>
      <c r="E55" s="15"/>
      <c r="F55" s="9" t="s">
        <v>115</v>
      </c>
      <c r="G55" s="9" t="s">
        <v>116</v>
      </c>
      <c r="H55" s="9" t="str">
        <f t="shared" si="6"/>
        <v>3О_БА_Г5_31181_H_318551</v>
      </c>
      <c r="I55" s="9"/>
      <c r="J55" s="9"/>
      <c r="K55" s="15"/>
      <c r="L55" s="9"/>
      <c r="M55" s="9"/>
      <c r="N55" s="9"/>
    </row>
    <row r="56" spans="1:14" x14ac:dyDescent="0.25">
      <c r="A56" s="9" t="s">
        <v>43</v>
      </c>
      <c r="B56" s="9" t="s">
        <v>44</v>
      </c>
      <c r="C56" s="9" t="s">
        <v>6</v>
      </c>
      <c r="D56" s="10">
        <v>31181</v>
      </c>
      <c r="E56" s="15"/>
      <c r="F56" s="9" t="s">
        <v>117</v>
      </c>
      <c r="G56" s="9" t="s">
        <v>81</v>
      </c>
      <c r="H56" s="9" t="str">
        <f t="shared" si="6"/>
        <v>3О_БА_Г5_31181_LVSA 316551</v>
      </c>
      <c r="I56" s="9"/>
      <c r="J56" s="9"/>
      <c r="K56" s="15"/>
      <c r="L56" s="9"/>
      <c r="M56" s="9"/>
      <c r="N56" s="9"/>
    </row>
    <row r="57" spans="1:14" x14ac:dyDescent="0.25">
      <c r="A57" s="9" t="s">
        <v>43</v>
      </c>
      <c r="B57" s="9" t="s">
        <v>44</v>
      </c>
      <c r="C57" s="9" t="s">
        <v>6</v>
      </c>
      <c r="D57" s="10">
        <v>31181</v>
      </c>
      <c r="E57" s="15"/>
      <c r="F57" s="9" t="s">
        <v>118</v>
      </c>
      <c r="G57" s="9" t="s">
        <v>81</v>
      </c>
      <c r="H57" s="9" t="str">
        <f t="shared" ref="H57" si="8">A57&amp;"_"&amp;B57&amp;"_"&amp;C57&amp;"_"&amp;D57&amp;"_"&amp;F57</f>
        <v>3О_БА_Г5_31181_LVSA 316556</v>
      </c>
      <c r="I57" s="9"/>
      <c r="J57" s="9"/>
      <c r="K57" s="15"/>
      <c r="L57" s="9"/>
      <c r="M57" s="9"/>
      <c r="N57" s="9"/>
    </row>
    <row r="58" spans="1:14" x14ac:dyDescent="0.25">
      <c r="A58" s="9" t="s">
        <v>43</v>
      </c>
      <c r="B58" s="9" t="s">
        <v>44</v>
      </c>
      <c r="C58" s="9" t="s">
        <v>6</v>
      </c>
      <c r="D58" s="10">
        <v>31181</v>
      </c>
      <c r="E58" s="15"/>
      <c r="F58" s="9" t="s">
        <v>119</v>
      </c>
      <c r="G58" s="9" t="s">
        <v>82</v>
      </c>
      <c r="H58" s="9" t="str">
        <f t="shared" si="6"/>
        <v>3О_БА_Г5_31181_TVSA 316552</v>
      </c>
      <c r="I58" s="9"/>
      <c r="J58" s="9"/>
      <c r="K58" s="15"/>
      <c r="L58" s="9"/>
      <c r="M58" s="9"/>
      <c r="N58" s="9"/>
    </row>
    <row r="59" spans="1:14" x14ac:dyDescent="0.25">
      <c r="A59" s="9" t="s">
        <v>43</v>
      </c>
      <c r="B59" s="9" t="s">
        <v>44</v>
      </c>
      <c r="C59" s="9" t="s">
        <v>6</v>
      </c>
      <c r="D59" s="10">
        <v>31181</v>
      </c>
      <c r="E59" s="15"/>
      <c r="F59" s="9" t="s">
        <v>120</v>
      </c>
      <c r="G59" s="9" t="s">
        <v>82</v>
      </c>
      <c r="H59" s="9" t="str">
        <f t="shared" si="6"/>
        <v>3О_БА_Г5_31181_TVSA 316554</v>
      </c>
      <c r="I59" s="9"/>
      <c r="J59" s="9"/>
      <c r="K59" s="15"/>
      <c r="L59" s="9"/>
      <c r="M59" s="9"/>
      <c r="N59" s="9"/>
    </row>
    <row r="60" spans="1:14" x14ac:dyDescent="0.25">
      <c r="A60" s="9" t="s">
        <v>43</v>
      </c>
      <c r="B60" s="9" t="s">
        <v>44</v>
      </c>
      <c r="C60" s="9" t="s">
        <v>6</v>
      </c>
      <c r="D60" s="10">
        <v>31181</v>
      </c>
      <c r="E60" s="15"/>
      <c r="F60" s="9" t="s">
        <v>121</v>
      </c>
      <c r="G60" s="9" t="s">
        <v>83</v>
      </c>
      <c r="H60" s="9" t="str">
        <f t="shared" si="6"/>
        <v>3О_БА_Г5_31181_LVSA 316555</v>
      </c>
      <c r="I60" s="9"/>
      <c r="J60" s="9"/>
      <c r="K60" s="15"/>
      <c r="L60" s="9"/>
      <c r="M60" s="9"/>
      <c r="N60" s="9"/>
    </row>
    <row r="61" spans="1:14" x14ac:dyDescent="0.25">
      <c r="A61" s="9" t="s">
        <v>43</v>
      </c>
      <c r="B61" s="9" t="s">
        <v>44</v>
      </c>
      <c r="C61" s="9" t="s">
        <v>6</v>
      </c>
      <c r="D61" s="10">
        <v>31181</v>
      </c>
      <c r="E61" s="15"/>
      <c r="F61" s="9" t="s">
        <v>122</v>
      </c>
      <c r="G61" s="9" t="s">
        <v>107</v>
      </c>
      <c r="H61" s="9" t="str">
        <f t="shared" si="6"/>
        <v>3О_БА_Г5_31181_AVSA 316553</v>
      </c>
      <c r="I61" s="9"/>
      <c r="J61" s="9"/>
      <c r="K61" s="15"/>
      <c r="L61" s="9"/>
      <c r="M61" s="9"/>
      <c r="N61" s="9"/>
    </row>
    <row r="62" spans="1:14" x14ac:dyDescent="0.25">
      <c r="A62" s="9" t="s">
        <v>43</v>
      </c>
      <c r="B62" s="9" t="s">
        <v>44</v>
      </c>
      <c r="C62" s="9" t="s">
        <v>6</v>
      </c>
      <c r="D62" s="10">
        <v>31181</v>
      </c>
      <c r="E62" s="15"/>
      <c r="F62" s="9" t="s">
        <v>123</v>
      </c>
      <c r="G62" s="9" t="s">
        <v>71</v>
      </c>
      <c r="H62" s="9" t="str">
        <f t="shared" si="6"/>
        <v>3О_БА_Г5_31181_HL_318558</v>
      </c>
      <c r="I62" s="9"/>
      <c r="J62" s="9"/>
      <c r="K62" s="15"/>
      <c r="L62" s="9"/>
      <c r="M62" s="9"/>
      <c r="N62" s="9"/>
    </row>
    <row r="63" spans="1:14" x14ac:dyDescent="0.25">
      <c r="A63" s="9" t="s">
        <v>43</v>
      </c>
      <c r="B63" s="9" t="s">
        <v>44</v>
      </c>
      <c r="C63" s="9" t="s">
        <v>6</v>
      </c>
      <c r="D63" s="10">
        <v>31181</v>
      </c>
      <c r="E63" s="15"/>
      <c r="F63" s="9" t="s">
        <v>124</v>
      </c>
      <c r="G63" s="9" t="s">
        <v>73</v>
      </c>
      <c r="H63" s="9" t="str">
        <f t="shared" si="6"/>
        <v>3О_БА_Г5_31181_FSA_313551</v>
      </c>
      <c r="I63" s="9"/>
      <c r="J63" s="9"/>
      <c r="K63" s="15"/>
      <c r="L63" s="9"/>
      <c r="M63" s="9"/>
      <c r="N63" s="9"/>
    </row>
    <row r="64" spans="1:14" x14ac:dyDescent="0.25">
      <c r="A64" s="9" t="s">
        <v>43</v>
      </c>
      <c r="B64" s="9" t="s">
        <v>44</v>
      </c>
      <c r="C64" s="9" t="s">
        <v>6</v>
      </c>
      <c r="D64" s="10">
        <v>31181</v>
      </c>
      <c r="E64" s="15"/>
      <c r="F64" s="9" t="s">
        <v>125</v>
      </c>
      <c r="G64" s="9" t="s">
        <v>70</v>
      </c>
      <c r="H64" s="9" t="str">
        <f t="shared" si="6"/>
        <v>3О_БА_Г5_31181_LRCA_314551</v>
      </c>
      <c r="I64" s="9"/>
      <c r="J64" s="9"/>
      <c r="K64" s="15"/>
      <c r="L64" s="9"/>
      <c r="M64" s="9"/>
      <c r="N64" s="9"/>
    </row>
    <row r="65" spans="1:14" x14ac:dyDescent="0.25">
      <c r="A65" s="9" t="s">
        <v>43</v>
      </c>
      <c r="B65" s="9" t="s">
        <v>44</v>
      </c>
      <c r="C65" s="9" t="s">
        <v>6</v>
      </c>
      <c r="D65" s="10">
        <v>31181</v>
      </c>
      <c r="E65" s="15"/>
      <c r="F65" s="9" t="s">
        <v>126</v>
      </c>
      <c r="G65" s="9" t="s">
        <v>65</v>
      </c>
      <c r="H65" s="9" t="str">
        <f t="shared" si="6"/>
        <v>3О_БА_Г5_31181_TRCA_311551</v>
      </c>
      <c r="I65" s="9"/>
      <c r="J65" s="9"/>
      <c r="K65" s="15"/>
      <c r="L65" s="9"/>
      <c r="M65" s="9"/>
      <c r="N65" s="9"/>
    </row>
    <row r="66" spans="1:14" x14ac:dyDescent="0.25">
      <c r="A66" s="9" t="s">
        <v>43</v>
      </c>
      <c r="B66" s="9" t="s">
        <v>44</v>
      </c>
      <c r="C66" s="9" t="s">
        <v>6</v>
      </c>
      <c r="D66" s="10">
        <v>31181</v>
      </c>
      <c r="E66" s="15"/>
      <c r="F66" s="9" t="s">
        <v>127</v>
      </c>
      <c r="G66" s="9" t="s">
        <v>65</v>
      </c>
      <c r="H66" s="9" t="str">
        <f t="shared" si="6"/>
        <v>3О_БА_Г5_31181_TRCA_311552</v>
      </c>
      <c r="I66" s="9"/>
      <c r="J66" s="9"/>
      <c r="K66" s="15"/>
      <c r="L66" s="9"/>
      <c r="M66" s="9"/>
      <c r="N66" s="9"/>
    </row>
    <row r="67" spans="1:14" x14ac:dyDescent="0.25">
      <c r="A67" s="9" t="s">
        <v>43</v>
      </c>
      <c r="B67" s="9" t="s">
        <v>44</v>
      </c>
      <c r="C67" s="9" t="s">
        <v>6</v>
      </c>
      <c r="D67" s="10">
        <v>31181</v>
      </c>
      <c r="E67" s="15"/>
      <c r="F67" s="9" t="s">
        <v>95</v>
      </c>
      <c r="G67" s="9" t="s">
        <v>96</v>
      </c>
      <c r="H67" s="9" t="str">
        <f t="shared" si="6"/>
        <v>3О_БА_Г5_31181_ARCSA_315551</v>
      </c>
      <c r="I67" s="9"/>
      <c r="J67" s="9"/>
      <c r="K67" s="15"/>
      <c r="L67" s="9"/>
      <c r="M67" s="9"/>
      <c r="N67" s="9"/>
    </row>
    <row r="68" spans="1:14" x14ac:dyDescent="0.25">
      <c r="A68" s="12" t="s">
        <v>43</v>
      </c>
      <c r="B68" s="12" t="s">
        <v>44</v>
      </c>
      <c r="C68" s="12" t="s">
        <v>6</v>
      </c>
      <c r="D68" s="13">
        <v>31191</v>
      </c>
      <c r="E68" s="19" t="s">
        <v>144</v>
      </c>
      <c r="F68" s="12" t="s">
        <v>148</v>
      </c>
      <c r="G68" s="12" t="s">
        <v>5</v>
      </c>
      <c r="H68" s="12" t="str">
        <f t="shared" ref="H68:H90" si="9">A68&amp;"_"&amp;B68&amp;"_"&amp;C68&amp;"_"&amp;D68&amp;"_"&amp;F68</f>
        <v>3О_БА_Г5_31191_SIRCA_31191</v>
      </c>
      <c r="I68" s="12"/>
      <c r="J68" s="12"/>
      <c r="K68" s="20"/>
      <c r="L68" s="12"/>
      <c r="M68" s="12"/>
      <c r="N68" s="12"/>
    </row>
    <row r="69" spans="1:14" x14ac:dyDescent="0.25">
      <c r="A69" s="12" t="s">
        <v>43</v>
      </c>
      <c r="B69" s="12" t="s">
        <v>44</v>
      </c>
      <c r="C69" s="12" t="s">
        <v>6</v>
      </c>
      <c r="D69" s="13">
        <v>31191</v>
      </c>
      <c r="E69" s="20"/>
      <c r="F69" s="12" t="s">
        <v>149</v>
      </c>
      <c r="G69" s="12" t="s">
        <v>150</v>
      </c>
      <c r="H69" s="12" t="str">
        <f t="shared" si="9"/>
        <v>3О_БА_Г5_31191_H_318561</v>
      </c>
      <c r="I69" s="12"/>
      <c r="J69" s="12"/>
      <c r="K69" s="20"/>
      <c r="L69" s="12"/>
      <c r="M69" s="12"/>
      <c r="N69" s="12"/>
    </row>
    <row r="70" spans="1:14" x14ac:dyDescent="0.25">
      <c r="A70" s="12" t="s">
        <v>43</v>
      </c>
      <c r="B70" s="12" t="s">
        <v>44</v>
      </c>
      <c r="C70" s="12" t="s">
        <v>6</v>
      </c>
      <c r="D70" s="13">
        <v>31191</v>
      </c>
      <c r="E70" s="20"/>
      <c r="F70" s="12" t="s">
        <v>151</v>
      </c>
      <c r="G70" s="12" t="s">
        <v>81</v>
      </c>
      <c r="H70" s="12" t="str">
        <f t="shared" si="9"/>
        <v>3О_БА_Г5_31191_LVSA 316561</v>
      </c>
      <c r="I70" s="12"/>
      <c r="J70" s="12"/>
      <c r="K70" s="20"/>
      <c r="L70" s="12"/>
      <c r="M70" s="12"/>
      <c r="N70" s="12"/>
    </row>
    <row r="71" spans="1:14" x14ac:dyDescent="0.25">
      <c r="A71" s="12" t="s">
        <v>43</v>
      </c>
      <c r="B71" s="12" t="s">
        <v>44</v>
      </c>
      <c r="C71" s="12" t="s">
        <v>6</v>
      </c>
      <c r="D71" s="13">
        <v>31191</v>
      </c>
      <c r="E71" s="20"/>
      <c r="F71" s="12" t="s">
        <v>153</v>
      </c>
      <c r="G71" s="12" t="s">
        <v>82</v>
      </c>
      <c r="H71" s="12" t="str">
        <f t="shared" si="9"/>
        <v>3О_БА_Г5_31191_TVSA 316562</v>
      </c>
      <c r="I71" s="12"/>
      <c r="J71" s="12"/>
      <c r="K71" s="20"/>
      <c r="L71" s="12"/>
      <c r="M71" s="12"/>
      <c r="N71" s="12"/>
    </row>
    <row r="72" spans="1:14" x14ac:dyDescent="0.25">
      <c r="A72" s="12" t="s">
        <v>43</v>
      </c>
      <c r="B72" s="12" t="s">
        <v>44</v>
      </c>
      <c r="C72" s="12" t="s">
        <v>6</v>
      </c>
      <c r="D72" s="13">
        <v>31191</v>
      </c>
      <c r="E72" s="20"/>
      <c r="F72" s="12" t="s">
        <v>152</v>
      </c>
      <c r="G72" s="12" t="s">
        <v>82</v>
      </c>
      <c r="H72" s="12" t="str">
        <f t="shared" si="9"/>
        <v>3О_БА_Г5_31191_TVSA 316563</v>
      </c>
      <c r="I72" s="12"/>
      <c r="J72" s="12"/>
      <c r="K72" s="20"/>
      <c r="L72" s="12"/>
      <c r="M72" s="12"/>
      <c r="N72" s="12"/>
    </row>
    <row r="73" spans="1:14" x14ac:dyDescent="0.25">
      <c r="A73" s="12" t="s">
        <v>43</v>
      </c>
      <c r="B73" s="12" t="s">
        <v>44</v>
      </c>
      <c r="C73" s="12" t="s">
        <v>6</v>
      </c>
      <c r="D73" s="13">
        <v>31191</v>
      </c>
      <c r="E73" s="20"/>
      <c r="F73" s="12" t="s">
        <v>154</v>
      </c>
      <c r="G73" s="12" t="s">
        <v>83</v>
      </c>
      <c r="H73" s="12" t="str">
        <f t="shared" si="9"/>
        <v>3О_БА_Г5_31191_LVSA 316564</v>
      </c>
      <c r="I73" s="12"/>
      <c r="J73" s="12"/>
      <c r="K73" s="20"/>
      <c r="L73" s="12"/>
      <c r="M73" s="12"/>
      <c r="N73" s="12"/>
    </row>
    <row r="74" spans="1:14" x14ac:dyDescent="0.25">
      <c r="A74" s="12" t="s">
        <v>43</v>
      </c>
      <c r="B74" s="12" t="s">
        <v>44</v>
      </c>
      <c r="C74" s="12" t="s">
        <v>6</v>
      </c>
      <c r="D74" s="13">
        <v>31191</v>
      </c>
      <c r="E74" s="20"/>
      <c r="F74" s="12" t="s">
        <v>155</v>
      </c>
      <c r="G74" s="12" t="s">
        <v>71</v>
      </c>
      <c r="H74" s="12" t="str">
        <f t="shared" si="9"/>
        <v>3О_БА_Г5_31191_HL_318568</v>
      </c>
      <c r="I74" s="12"/>
      <c r="J74" s="12"/>
      <c r="K74" s="20"/>
      <c r="L74" s="12"/>
      <c r="M74" s="12"/>
      <c r="N74" s="12"/>
    </row>
    <row r="75" spans="1:14" x14ac:dyDescent="0.25">
      <c r="A75" s="12" t="s">
        <v>43</v>
      </c>
      <c r="B75" s="12" t="s">
        <v>44</v>
      </c>
      <c r="C75" s="12" t="s">
        <v>6</v>
      </c>
      <c r="D75" s="13">
        <v>31191</v>
      </c>
      <c r="E75" s="20"/>
      <c r="F75" s="12" t="s">
        <v>156</v>
      </c>
      <c r="G75" s="12" t="s">
        <v>73</v>
      </c>
      <c r="H75" s="12" t="str">
        <f t="shared" si="9"/>
        <v>3О_БА_Г5_31191_FSA_313561</v>
      </c>
      <c r="I75" s="12"/>
      <c r="J75" s="12"/>
      <c r="K75" s="20"/>
      <c r="L75" s="12"/>
      <c r="M75" s="12"/>
      <c r="N75" s="12"/>
    </row>
    <row r="76" spans="1:14" x14ac:dyDescent="0.25">
      <c r="A76" s="12" t="s">
        <v>43</v>
      </c>
      <c r="B76" s="12" t="s">
        <v>44</v>
      </c>
      <c r="C76" s="12" t="s">
        <v>6</v>
      </c>
      <c r="D76" s="13">
        <v>31191</v>
      </c>
      <c r="E76" s="20"/>
      <c r="F76" s="12" t="s">
        <v>157</v>
      </c>
      <c r="G76" s="12" t="s">
        <v>70</v>
      </c>
      <c r="H76" s="12" t="str">
        <f t="shared" si="9"/>
        <v>3О_БА_Г5_31191_LRCA_314561</v>
      </c>
      <c r="I76" s="12"/>
      <c r="J76" s="12"/>
      <c r="K76" s="20"/>
      <c r="L76" s="12"/>
      <c r="M76" s="12"/>
      <c r="N76" s="12"/>
    </row>
    <row r="77" spans="1:14" x14ac:dyDescent="0.25">
      <c r="A77" s="12" t="s">
        <v>43</v>
      </c>
      <c r="B77" s="12" t="s">
        <v>44</v>
      </c>
      <c r="C77" s="12" t="s">
        <v>6</v>
      </c>
      <c r="D77" s="13">
        <v>31191</v>
      </c>
      <c r="E77" s="20"/>
      <c r="F77" s="12" t="s">
        <v>158</v>
      </c>
      <c r="G77" s="12" t="s">
        <v>65</v>
      </c>
      <c r="H77" s="12" t="str">
        <f t="shared" si="9"/>
        <v>3О_БА_Г5_31191_TRCA_311561</v>
      </c>
      <c r="I77" s="12"/>
      <c r="J77" s="12"/>
      <c r="K77" s="20"/>
      <c r="L77" s="12"/>
      <c r="M77" s="12"/>
      <c r="N77" s="12"/>
    </row>
    <row r="78" spans="1:14" x14ac:dyDescent="0.25">
      <c r="A78" s="12" t="s">
        <v>43</v>
      </c>
      <c r="B78" s="12" t="s">
        <v>44</v>
      </c>
      <c r="C78" s="12" t="s">
        <v>6</v>
      </c>
      <c r="D78" s="13">
        <v>31191</v>
      </c>
      <c r="E78" s="20"/>
      <c r="F78" s="12" t="s">
        <v>159</v>
      </c>
      <c r="G78" s="12" t="s">
        <v>65</v>
      </c>
      <c r="H78" s="12" t="str">
        <f t="shared" si="9"/>
        <v>3О_БА_Г5_31191_TRCA_311562</v>
      </c>
      <c r="I78" s="12"/>
      <c r="J78" s="12"/>
      <c r="K78" s="20"/>
      <c r="L78" s="12"/>
      <c r="M78" s="12"/>
      <c r="N78" s="12"/>
    </row>
    <row r="79" spans="1:14" x14ac:dyDescent="0.25">
      <c r="A79" s="9" t="s">
        <v>43</v>
      </c>
      <c r="B79" s="9" t="s">
        <v>44</v>
      </c>
      <c r="C79" s="9" t="s">
        <v>6</v>
      </c>
      <c r="D79" s="10">
        <v>31131</v>
      </c>
      <c r="E79" s="14" t="s">
        <v>161</v>
      </c>
      <c r="F79" s="9" t="s">
        <v>162</v>
      </c>
      <c r="G79" s="9" t="s">
        <v>5</v>
      </c>
      <c r="H79" s="9" t="str">
        <f t="shared" si="9"/>
        <v>3О_БА_Г5_31131_SIRCA_31131</v>
      </c>
      <c r="I79" s="9"/>
      <c r="J79" s="9"/>
      <c r="K79" s="15"/>
      <c r="L79" s="9"/>
      <c r="M79" s="9"/>
      <c r="N79" s="9"/>
    </row>
    <row r="80" spans="1:14" x14ac:dyDescent="0.25">
      <c r="A80" s="9" t="s">
        <v>43</v>
      </c>
      <c r="B80" s="9" t="s">
        <v>44</v>
      </c>
      <c r="C80" s="9" t="s">
        <v>6</v>
      </c>
      <c r="D80" s="10">
        <v>31131</v>
      </c>
      <c r="E80" s="15"/>
      <c r="F80" s="9" t="s">
        <v>163</v>
      </c>
      <c r="G80" s="9" t="s">
        <v>175</v>
      </c>
      <c r="H80" s="9" t="str">
        <f t="shared" si="9"/>
        <v>3О_БА_Г5_31131_H_318571</v>
      </c>
      <c r="I80" s="9"/>
      <c r="J80" s="9"/>
      <c r="K80" s="15"/>
      <c r="L80" s="9"/>
      <c r="M80" s="9"/>
      <c r="N80" s="9"/>
    </row>
    <row r="81" spans="1:14" x14ac:dyDescent="0.25">
      <c r="A81" s="9" t="s">
        <v>43</v>
      </c>
      <c r="B81" s="9" t="s">
        <v>44</v>
      </c>
      <c r="C81" s="9" t="s">
        <v>6</v>
      </c>
      <c r="D81" s="10">
        <v>31131</v>
      </c>
      <c r="E81" s="15"/>
      <c r="F81" s="9" t="s">
        <v>164</v>
      </c>
      <c r="G81" s="9" t="s">
        <v>81</v>
      </c>
      <c r="H81" s="9" t="str">
        <f t="shared" si="9"/>
        <v>3О_БА_Г5_31131_LVSA 316571</v>
      </c>
      <c r="I81" s="9"/>
      <c r="J81" s="9"/>
      <c r="K81" s="15"/>
      <c r="L81" s="9"/>
      <c r="M81" s="9"/>
      <c r="N81" s="9"/>
    </row>
    <row r="82" spans="1:14" x14ac:dyDescent="0.25">
      <c r="A82" s="9" t="s">
        <v>43</v>
      </c>
      <c r="B82" s="9" t="s">
        <v>44</v>
      </c>
      <c r="C82" s="9" t="s">
        <v>6</v>
      </c>
      <c r="D82" s="10">
        <v>31131</v>
      </c>
      <c r="E82" s="15"/>
      <c r="F82" s="9" t="s">
        <v>165</v>
      </c>
      <c r="G82" s="9" t="s">
        <v>82</v>
      </c>
      <c r="H82" s="9" t="str">
        <f t="shared" si="9"/>
        <v>3О_БА_Г5_31131_TVSA 316572</v>
      </c>
      <c r="I82" s="9"/>
      <c r="J82" s="9"/>
      <c r="K82" s="15"/>
      <c r="L82" s="9"/>
      <c r="M82" s="9"/>
      <c r="N82" s="9"/>
    </row>
    <row r="83" spans="1:14" x14ac:dyDescent="0.25">
      <c r="A83" s="9" t="s">
        <v>43</v>
      </c>
      <c r="B83" s="9" t="s">
        <v>44</v>
      </c>
      <c r="C83" s="9" t="s">
        <v>6</v>
      </c>
      <c r="D83" s="10">
        <v>31131</v>
      </c>
      <c r="E83" s="15"/>
      <c r="F83" s="9" t="s">
        <v>166</v>
      </c>
      <c r="G83" s="9" t="s">
        <v>83</v>
      </c>
      <c r="H83" s="9" t="str">
        <f t="shared" si="9"/>
        <v>3О_БА_Г5_31131_LVSA 316573</v>
      </c>
      <c r="I83" s="9"/>
      <c r="J83" s="9"/>
      <c r="K83" s="15"/>
      <c r="L83" s="9"/>
      <c r="M83" s="9"/>
      <c r="N83" s="9"/>
    </row>
    <row r="84" spans="1:14" x14ac:dyDescent="0.25">
      <c r="A84" s="9" t="s">
        <v>43</v>
      </c>
      <c r="B84" s="9" t="s">
        <v>44</v>
      </c>
      <c r="C84" s="9" t="s">
        <v>6</v>
      </c>
      <c r="D84" s="10">
        <v>31131</v>
      </c>
      <c r="E84" s="15"/>
      <c r="F84" s="9" t="s">
        <v>167</v>
      </c>
      <c r="G84" s="9" t="s">
        <v>107</v>
      </c>
      <c r="H84" s="9" t="str">
        <f t="shared" si="9"/>
        <v>3О_БА_Г5_31131_AVSA 316574</v>
      </c>
      <c r="I84" s="9"/>
      <c r="J84" s="9"/>
      <c r="K84" s="15"/>
      <c r="L84" s="9"/>
      <c r="M84" s="9"/>
      <c r="N84" s="9"/>
    </row>
    <row r="85" spans="1:14" x14ac:dyDescent="0.25">
      <c r="A85" s="9" t="s">
        <v>43</v>
      </c>
      <c r="B85" s="9" t="s">
        <v>44</v>
      </c>
      <c r="C85" s="9" t="s">
        <v>6</v>
      </c>
      <c r="D85" s="10">
        <v>31131</v>
      </c>
      <c r="E85" s="15"/>
      <c r="F85" s="9" t="s">
        <v>168</v>
      </c>
      <c r="G85" s="9" t="s">
        <v>71</v>
      </c>
      <c r="H85" s="9" t="str">
        <f t="shared" si="9"/>
        <v>3О_БА_Г5_31131_HL_318578</v>
      </c>
      <c r="I85" s="9"/>
      <c r="J85" s="9"/>
      <c r="K85" s="15"/>
      <c r="L85" s="9"/>
      <c r="M85" s="9"/>
      <c r="N85" s="9"/>
    </row>
    <row r="86" spans="1:14" x14ac:dyDescent="0.25">
      <c r="A86" s="9" t="s">
        <v>43</v>
      </c>
      <c r="B86" s="9" t="s">
        <v>44</v>
      </c>
      <c r="C86" s="9" t="s">
        <v>6</v>
      </c>
      <c r="D86" s="10">
        <v>31131</v>
      </c>
      <c r="E86" s="15"/>
      <c r="F86" s="9" t="s">
        <v>169</v>
      </c>
      <c r="G86" s="9" t="s">
        <v>73</v>
      </c>
      <c r="H86" s="9" t="str">
        <f t="shared" si="9"/>
        <v>3О_БА_Г5_31131_FSA_313571</v>
      </c>
      <c r="I86" s="9"/>
      <c r="J86" s="9"/>
      <c r="K86" s="15"/>
      <c r="L86" s="9"/>
      <c r="M86" s="9"/>
      <c r="N86" s="9"/>
    </row>
    <row r="87" spans="1:14" x14ac:dyDescent="0.25">
      <c r="A87" s="9" t="s">
        <v>43</v>
      </c>
      <c r="B87" s="9" t="s">
        <v>44</v>
      </c>
      <c r="C87" s="9" t="s">
        <v>6</v>
      </c>
      <c r="D87" s="10">
        <v>31131</v>
      </c>
      <c r="E87" s="15"/>
      <c r="F87" s="9" t="s">
        <v>170</v>
      </c>
      <c r="G87" s="9" t="s">
        <v>70</v>
      </c>
      <c r="H87" s="9" t="str">
        <f t="shared" si="9"/>
        <v>3О_БА_Г5_31131_LRCA_314571</v>
      </c>
      <c r="I87" s="9"/>
      <c r="J87" s="9"/>
      <c r="K87" s="15"/>
      <c r="L87" s="9"/>
      <c r="M87" s="9"/>
      <c r="N87" s="9"/>
    </row>
    <row r="88" spans="1:14" x14ac:dyDescent="0.25">
      <c r="A88" s="9" t="s">
        <v>43</v>
      </c>
      <c r="B88" s="9" t="s">
        <v>44</v>
      </c>
      <c r="C88" s="9" t="s">
        <v>6</v>
      </c>
      <c r="D88" s="10">
        <v>31131</v>
      </c>
      <c r="E88" s="15"/>
      <c r="F88" s="9" t="s">
        <v>171</v>
      </c>
      <c r="G88" s="9" t="s">
        <v>65</v>
      </c>
      <c r="H88" s="9" t="str">
        <f t="shared" si="9"/>
        <v>3О_БА_Г5_31131_TRCA_311571</v>
      </c>
      <c r="I88" s="9"/>
      <c r="J88" s="9"/>
      <c r="K88" s="15"/>
      <c r="L88" s="9"/>
      <c r="M88" s="9"/>
      <c r="N88" s="9"/>
    </row>
    <row r="89" spans="1:14" x14ac:dyDescent="0.25">
      <c r="A89" s="9" t="s">
        <v>43</v>
      </c>
      <c r="B89" s="9" t="s">
        <v>44</v>
      </c>
      <c r="C89" s="9" t="s">
        <v>6</v>
      </c>
      <c r="D89" s="10">
        <v>31131</v>
      </c>
      <c r="E89" s="15"/>
      <c r="F89" s="9" t="s">
        <v>172</v>
      </c>
      <c r="G89" s="9" t="s">
        <v>65</v>
      </c>
      <c r="H89" s="9" t="str">
        <f t="shared" si="9"/>
        <v>3О_БА_Г5_31131_TRCA_311572</v>
      </c>
      <c r="I89" s="9"/>
      <c r="J89" s="9"/>
      <c r="K89" s="15"/>
      <c r="L89" s="9"/>
      <c r="M89" s="9"/>
      <c r="N89" s="9"/>
    </row>
    <row r="90" spans="1:14" x14ac:dyDescent="0.25">
      <c r="A90" s="9" t="s">
        <v>43</v>
      </c>
      <c r="B90" s="9" t="s">
        <v>44</v>
      </c>
      <c r="C90" s="9" t="s">
        <v>6</v>
      </c>
      <c r="D90" s="10">
        <v>31131</v>
      </c>
      <c r="E90" s="15"/>
      <c r="F90" s="9" t="s">
        <v>173</v>
      </c>
      <c r="G90" s="9" t="s">
        <v>96</v>
      </c>
      <c r="H90" s="9" t="str">
        <f t="shared" si="9"/>
        <v>3О_БА_Г5_31131_ARCSA_315571</v>
      </c>
      <c r="I90" s="9"/>
      <c r="J90" s="9"/>
      <c r="K90" s="15"/>
      <c r="L90" s="9"/>
      <c r="M90" s="9"/>
      <c r="N90" s="9"/>
    </row>
    <row r="91" spans="1:14" x14ac:dyDescent="0.25">
      <c r="A91" s="12" t="s">
        <v>43</v>
      </c>
      <c r="B91" s="12" t="s">
        <v>44</v>
      </c>
      <c r="C91" s="12" t="s">
        <v>6</v>
      </c>
      <c r="D91" s="13">
        <v>31341</v>
      </c>
      <c r="E91" s="19" t="s">
        <v>177</v>
      </c>
      <c r="F91" s="12" t="s">
        <v>174</v>
      </c>
      <c r="G91" s="12" t="s">
        <v>5</v>
      </c>
      <c r="H91" s="12" t="str">
        <f t="shared" ref="H91:H101" si="10">A91&amp;"_"&amp;B91&amp;"_"&amp;C91&amp;"_"&amp;D91&amp;"_"&amp;F91</f>
        <v>3О_БА_Г5_31341_SIRCA_31141</v>
      </c>
      <c r="I91" s="12"/>
      <c r="J91" s="12"/>
      <c r="K91" s="20"/>
      <c r="L91" s="12"/>
      <c r="M91" s="12"/>
      <c r="N91" s="12"/>
    </row>
    <row r="92" spans="1:14" x14ac:dyDescent="0.25">
      <c r="A92" s="12" t="s">
        <v>43</v>
      </c>
      <c r="B92" s="12" t="s">
        <v>44</v>
      </c>
      <c r="C92" s="12" t="s">
        <v>6</v>
      </c>
      <c r="D92" s="13">
        <v>31341</v>
      </c>
      <c r="E92" s="20"/>
      <c r="F92" s="12" t="s">
        <v>178</v>
      </c>
      <c r="G92" s="12" t="s">
        <v>176</v>
      </c>
      <c r="H92" s="12" t="str">
        <f t="shared" si="10"/>
        <v>3О_БА_Г5_31341_H_318591</v>
      </c>
      <c r="I92" s="12"/>
      <c r="J92" s="12"/>
      <c r="K92" s="20"/>
      <c r="L92" s="12"/>
      <c r="M92" s="12"/>
      <c r="N92" s="12"/>
    </row>
    <row r="93" spans="1:14" x14ac:dyDescent="0.25">
      <c r="A93" s="12" t="s">
        <v>43</v>
      </c>
      <c r="B93" s="12" t="s">
        <v>44</v>
      </c>
      <c r="C93" s="12" t="s">
        <v>6</v>
      </c>
      <c r="D93" s="13">
        <v>31341</v>
      </c>
      <c r="E93" s="20"/>
      <c r="F93" s="12" t="s">
        <v>179</v>
      </c>
      <c r="G93" s="12" t="s">
        <v>81</v>
      </c>
      <c r="H93" s="12" t="str">
        <f t="shared" si="10"/>
        <v>3О_БА_Г5_31341_LVSA 316591</v>
      </c>
      <c r="I93" s="12"/>
      <c r="J93" s="12"/>
      <c r="K93" s="20"/>
      <c r="L93" s="12"/>
      <c r="M93" s="12"/>
      <c r="N93" s="12"/>
    </row>
    <row r="94" spans="1:14" x14ac:dyDescent="0.25">
      <c r="A94" s="12" t="s">
        <v>43</v>
      </c>
      <c r="B94" s="12" t="s">
        <v>44</v>
      </c>
      <c r="C94" s="12" t="s">
        <v>6</v>
      </c>
      <c r="D94" s="13">
        <v>31341</v>
      </c>
      <c r="E94" s="20"/>
      <c r="F94" s="12" t="s">
        <v>180</v>
      </c>
      <c r="G94" s="12" t="s">
        <v>81</v>
      </c>
      <c r="H94" s="12" t="str">
        <f t="shared" ref="H94" si="11">A94&amp;"_"&amp;B94&amp;"_"&amp;C94&amp;"_"&amp;D94&amp;"_"&amp;F94</f>
        <v>3О_БА_Г5_31341_LVSA 316592</v>
      </c>
      <c r="I94" s="12"/>
      <c r="J94" s="12"/>
      <c r="K94" s="20"/>
      <c r="L94" s="12"/>
      <c r="M94" s="12"/>
      <c r="N94" s="12"/>
    </row>
    <row r="95" spans="1:14" x14ac:dyDescent="0.25">
      <c r="A95" s="12" t="s">
        <v>43</v>
      </c>
      <c r="B95" s="12" t="s">
        <v>44</v>
      </c>
      <c r="C95" s="12" t="s">
        <v>6</v>
      </c>
      <c r="D95" s="13">
        <v>31341</v>
      </c>
      <c r="E95" s="20"/>
      <c r="F95" s="12" t="s">
        <v>181</v>
      </c>
      <c r="G95" s="12" t="s">
        <v>82</v>
      </c>
      <c r="H95" s="12" t="str">
        <f t="shared" si="10"/>
        <v>3О_БА_Г5_31341_TVSA 316593</v>
      </c>
      <c r="I95" s="12"/>
      <c r="J95" s="12"/>
      <c r="K95" s="20"/>
      <c r="L95" s="12"/>
      <c r="M95" s="12"/>
      <c r="N95" s="12"/>
    </row>
    <row r="96" spans="1:14" x14ac:dyDescent="0.25">
      <c r="A96" s="12" t="s">
        <v>43</v>
      </c>
      <c r="B96" s="12" t="s">
        <v>44</v>
      </c>
      <c r="C96" s="12" t="s">
        <v>6</v>
      </c>
      <c r="D96" s="13">
        <v>31341</v>
      </c>
      <c r="E96" s="20"/>
      <c r="F96" s="12" t="s">
        <v>182</v>
      </c>
      <c r="G96" s="12" t="s">
        <v>83</v>
      </c>
      <c r="H96" s="12" t="str">
        <f t="shared" si="10"/>
        <v>3О_БА_Г5_31341_LVSA 316594</v>
      </c>
      <c r="I96" s="12"/>
      <c r="J96" s="12"/>
      <c r="K96" s="20"/>
      <c r="L96" s="12"/>
      <c r="M96" s="12"/>
      <c r="N96" s="12"/>
    </row>
    <row r="97" spans="1:14" x14ac:dyDescent="0.25">
      <c r="A97" s="12" t="s">
        <v>43</v>
      </c>
      <c r="B97" s="12" t="s">
        <v>44</v>
      </c>
      <c r="C97" s="12" t="s">
        <v>6</v>
      </c>
      <c r="D97" s="13">
        <v>31341</v>
      </c>
      <c r="E97" s="20"/>
      <c r="F97" s="12" t="s">
        <v>183</v>
      </c>
      <c r="G97" s="12" t="s">
        <v>71</v>
      </c>
      <c r="H97" s="12" t="str">
        <f t="shared" si="10"/>
        <v>3О_БА_Г5_31341_HL_318598</v>
      </c>
      <c r="I97" s="12"/>
      <c r="J97" s="12"/>
      <c r="K97" s="20"/>
      <c r="L97" s="12"/>
      <c r="M97" s="12"/>
      <c r="N97" s="12"/>
    </row>
    <row r="98" spans="1:14" x14ac:dyDescent="0.25">
      <c r="A98" s="12" t="s">
        <v>43</v>
      </c>
      <c r="B98" s="12" t="s">
        <v>44</v>
      </c>
      <c r="C98" s="12" t="s">
        <v>6</v>
      </c>
      <c r="D98" s="13">
        <v>31341</v>
      </c>
      <c r="E98" s="20"/>
      <c r="F98" s="12" t="s">
        <v>184</v>
      </c>
      <c r="G98" s="12" t="s">
        <v>73</v>
      </c>
      <c r="H98" s="12" t="str">
        <f t="shared" si="10"/>
        <v>3О_БА_Г5_31341_FSA_313591</v>
      </c>
      <c r="I98" s="12"/>
      <c r="J98" s="12"/>
      <c r="K98" s="20"/>
      <c r="L98" s="12"/>
      <c r="M98" s="12"/>
      <c r="N98" s="12"/>
    </row>
    <row r="99" spans="1:14" x14ac:dyDescent="0.25">
      <c r="A99" s="12" t="s">
        <v>43</v>
      </c>
      <c r="B99" s="12" t="s">
        <v>44</v>
      </c>
      <c r="C99" s="12" t="s">
        <v>6</v>
      </c>
      <c r="D99" s="13">
        <v>31341</v>
      </c>
      <c r="E99" s="20"/>
      <c r="F99" s="12" t="s">
        <v>185</v>
      </c>
      <c r="G99" s="12" t="s">
        <v>70</v>
      </c>
      <c r="H99" s="12" t="str">
        <f t="shared" si="10"/>
        <v>3О_БА_Г5_31341_LRCA_314591</v>
      </c>
      <c r="I99" s="12"/>
      <c r="J99" s="12"/>
      <c r="K99" s="20"/>
      <c r="L99" s="12"/>
      <c r="M99" s="12"/>
      <c r="N99" s="12"/>
    </row>
    <row r="100" spans="1:14" x14ac:dyDescent="0.25">
      <c r="A100" s="12" t="s">
        <v>43</v>
      </c>
      <c r="B100" s="12" t="s">
        <v>44</v>
      </c>
      <c r="C100" s="12" t="s">
        <v>6</v>
      </c>
      <c r="D100" s="13">
        <v>31341</v>
      </c>
      <c r="E100" s="20"/>
      <c r="F100" s="12" t="s">
        <v>186</v>
      </c>
      <c r="G100" s="12" t="s">
        <v>65</v>
      </c>
      <c r="H100" s="12" t="str">
        <f t="shared" si="10"/>
        <v>3О_БА_Г5_31341_TRCA_311591</v>
      </c>
      <c r="I100" s="12"/>
      <c r="J100" s="12"/>
      <c r="K100" s="20"/>
      <c r="L100" s="12"/>
      <c r="M100" s="12"/>
      <c r="N100" s="12"/>
    </row>
    <row r="101" spans="1:14" x14ac:dyDescent="0.25">
      <c r="A101" s="12" t="s">
        <v>43</v>
      </c>
      <c r="B101" s="12" t="s">
        <v>44</v>
      </c>
      <c r="C101" s="12" t="s">
        <v>6</v>
      </c>
      <c r="D101" s="13">
        <v>31341</v>
      </c>
      <c r="E101" s="20"/>
      <c r="F101" s="12" t="s">
        <v>187</v>
      </c>
      <c r="G101" s="12" t="s">
        <v>65</v>
      </c>
      <c r="H101" s="12" t="str">
        <f t="shared" si="10"/>
        <v>3О_БА_Г5_31341_TRCA_311592</v>
      </c>
      <c r="I101" s="12"/>
      <c r="J101" s="12"/>
      <c r="K101" s="20"/>
      <c r="L101" s="12"/>
      <c r="M101" s="12"/>
      <c r="N101" s="12"/>
    </row>
    <row r="102" spans="1:14" x14ac:dyDescent="0.25">
      <c r="A102" s="12" t="s">
        <v>43</v>
      </c>
      <c r="B102" s="12" t="s">
        <v>44</v>
      </c>
      <c r="C102" s="12" t="s">
        <v>6</v>
      </c>
      <c r="D102" s="13">
        <v>31341</v>
      </c>
      <c r="E102" s="20"/>
      <c r="F102" s="12" t="s">
        <v>188</v>
      </c>
      <c r="G102" s="12" t="s">
        <v>65</v>
      </c>
      <c r="H102" s="12" t="str">
        <f t="shared" ref="H102:H114" si="12">A102&amp;"_"&amp;B102&amp;"_"&amp;C102&amp;"_"&amp;D102&amp;"_"&amp;F102</f>
        <v>3О_БА_Г5_31341_TRCA_311593</v>
      </c>
      <c r="I102" s="12"/>
      <c r="J102" s="12"/>
      <c r="K102" s="20"/>
      <c r="L102" s="12"/>
      <c r="M102" s="12"/>
      <c r="N102" s="12"/>
    </row>
    <row r="103" spans="1:14" x14ac:dyDescent="0.25">
      <c r="A103" s="9" t="s">
        <v>43</v>
      </c>
      <c r="B103" s="9" t="s">
        <v>44</v>
      </c>
      <c r="C103" s="9" t="s">
        <v>6</v>
      </c>
      <c r="D103" s="10">
        <v>31351</v>
      </c>
      <c r="E103" s="14" t="s">
        <v>189</v>
      </c>
      <c r="F103" s="9" t="s">
        <v>190</v>
      </c>
      <c r="G103" s="9" t="s">
        <v>32</v>
      </c>
      <c r="H103" s="9" t="str">
        <f t="shared" si="12"/>
        <v>3О_БА_Г5_31351_NCSA_31351A</v>
      </c>
      <c r="I103" s="9"/>
      <c r="J103" s="9"/>
      <c r="K103" s="15"/>
      <c r="L103" s="9"/>
      <c r="M103" s="9"/>
      <c r="N103" s="9"/>
    </row>
    <row r="104" spans="1:14" x14ac:dyDescent="0.25">
      <c r="A104" s="9" t="s">
        <v>43</v>
      </c>
      <c r="B104" s="9" t="s">
        <v>44</v>
      </c>
      <c r="C104" s="9" t="s">
        <v>6</v>
      </c>
      <c r="D104" s="10">
        <v>31351</v>
      </c>
      <c r="E104" s="15"/>
      <c r="F104" s="9" t="s">
        <v>191</v>
      </c>
      <c r="G104" s="9" t="s">
        <v>192</v>
      </c>
      <c r="H104" s="9" t="str">
        <f t="shared" si="12"/>
        <v>3О_БА_Г5_31351_H_318592</v>
      </c>
      <c r="I104" s="9"/>
      <c r="J104" s="9"/>
      <c r="K104" s="15"/>
      <c r="L104" s="9"/>
      <c r="M104" s="9"/>
      <c r="N104" s="9"/>
    </row>
    <row r="105" spans="1:14" x14ac:dyDescent="0.25">
      <c r="A105" s="9" t="s">
        <v>43</v>
      </c>
      <c r="B105" s="9" t="s">
        <v>44</v>
      </c>
      <c r="C105" s="9" t="s">
        <v>6</v>
      </c>
      <c r="D105" s="10">
        <v>31351</v>
      </c>
      <c r="E105" s="15"/>
      <c r="F105" s="9" t="s">
        <v>197</v>
      </c>
      <c r="G105" s="9" t="s">
        <v>193</v>
      </c>
      <c r="H105" s="9" t="str">
        <f t="shared" si="12"/>
        <v>3О_БА_Г5_31351_HVSA 316594</v>
      </c>
      <c r="I105" s="9"/>
      <c r="J105" s="9"/>
      <c r="K105" s="15"/>
      <c r="L105" s="9"/>
      <c r="M105" s="9"/>
      <c r="N105" s="9"/>
    </row>
    <row r="106" spans="1:14" x14ac:dyDescent="0.25">
      <c r="A106" s="9" t="s">
        <v>43</v>
      </c>
      <c r="B106" s="9" t="s">
        <v>44</v>
      </c>
      <c r="C106" s="9" t="s">
        <v>6</v>
      </c>
      <c r="D106" s="10">
        <v>31351</v>
      </c>
      <c r="E106" s="15"/>
      <c r="F106" s="9" t="s">
        <v>194</v>
      </c>
      <c r="G106" s="9" t="s">
        <v>9</v>
      </c>
      <c r="H106" s="9" t="str">
        <f t="shared" si="12"/>
        <v>3О_БА_Г5_31351_PRCA_312591</v>
      </c>
      <c r="I106" s="9"/>
      <c r="J106" s="9"/>
      <c r="K106" s="15"/>
      <c r="L106" s="9"/>
      <c r="M106" s="9"/>
      <c r="N106" s="9"/>
    </row>
    <row r="107" spans="1:14" x14ac:dyDescent="0.25">
      <c r="A107" s="9" t="s">
        <v>43</v>
      </c>
      <c r="B107" s="9" t="s">
        <v>44</v>
      </c>
      <c r="C107" s="9" t="s">
        <v>6</v>
      </c>
      <c r="D107" s="10">
        <v>31351</v>
      </c>
      <c r="E107" s="15"/>
      <c r="F107" s="9" t="s">
        <v>195</v>
      </c>
      <c r="G107" s="9" t="s">
        <v>32</v>
      </c>
      <c r="H107" s="9" t="str">
        <f t="shared" si="12"/>
        <v>3О_БА_Г5_31351_NCSA_31351B</v>
      </c>
      <c r="I107" s="9"/>
      <c r="J107" s="9"/>
      <c r="K107" s="15"/>
      <c r="L107" s="9"/>
      <c r="M107" s="9"/>
      <c r="N107" s="9"/>
    </row>
    <row r="108" spans="1:14" x14ac:dyDescent="0.25">
      <c r="A108" s="9" t="s">
        <v>43</v>
      </c>
      <c r="B108" s="9" t="s">
        <v>44</v>
      </c>
      <c r="C108" s="9" t="s">
        <v>6</v>
      </c>
      <c r="D108" s="10">
        <v>31351</v>
      </c>
      <c r="E108" s="15"/>
      <c r="F108" s="9" t="s">
        <v>196</v>
      </c>
      <c r="G108" s="9" t="s">
        <v>200</v>
      </c>
      <c r="H108" s="9" t="str">
        <f t="shared" si="12"/>
        <v>3О_БА_Г5_31351_H_318593</v>
      </c>
      <c r="I108" s="9"/>
      <c r="J108" s="9"/>
      <c r="K108" s="15"/>
      <c r="L108" s="9"/>
      <c r="M108" s="9"/>
      <c r="N108" s="9"/>
    </row>
    <row r="109" spans="1:14" x14ac:dyDescent="0.25">
      <c r="A109" s="9" t="s">
        <v>43</v>
      </c>
      <c r="B109" s="9" t="s">
        <v>44</v>
      </c>
      <c r="C109" s="9" t="s">
        <v>6</v>
      </c>
      <c r="D109" s="10">
        <v>31351</v>
      </c>
      <c r="E109" s="15"/>
      <c r="F109" s="9" t="s">
        <v>198</v>
      </c>
      <c r="G109" s="9" t="s">
        <v>193</v>
      </c>
      <c r="H109" s="9" t="str">
        <f t="shared" si="12"/>
        <v>3О_БА_Г5_31351_HVSA 316595</v>
      </c>
      <c r="I109" s="9"/>
      <c r="J109" s="9"/>
      <c r="K109" s="15"/>
      <c r="L109" s="9"/>
      <c r="M109" s="9"/>
      <c r="N109" s="9"/>
    </row>
    <row r="110" spans="1:14" x14ac:dyDescent="0.25">
      <c r="A110" s="9" t="s">
        <v>43</v>
      </c>
      <c r="B110" s="9" t="s">
        <v>44</v>
      </c>
      <c r="C110" s="9" t="s">
        <v>6</v>
      </c>
      <c r="D110" s="10">
        <v>31351</v>
      </c>
      <c r="E110" s="15"/>
      <c r="F110" s="9" t="s">
        <v>199</v>
      </c>
      <c r="G110" s="9" t="s">
        <v>9</v>
      </c>
      <c r="H110" s="9" t="str">
        <f t="shared" si="12"/>
        <v>3О_БА_Г5_31351_PRCA_312592</v>
      </c>
      <c r="I110" s="9"/>
      <c r="J110" s="9"/>
      <c r="K110" s="15"/>
      <c r="L110" s="9"/>
      <c r="M110" s="9"/>
      <c r="N110" s="9"/>
    </row>
    <row r="111" spans="1:14" x14ac:dyDescent="0.25">
      <c r="A111" s="9" t="s">
        <v>43</v>
      </c>
      <c r="B111" s="9" t="s">
        <v>44</v>
      </c>
      <c r="C111" s="9" t="s">
        <v>6</v>
      </c>
      <c r="D111" s="10">
        <v>31351</v>
      </c>
      <c r="E111" s="15"/>
      <c r="F111" s="9" t="s">
        <v>201</v>
      </c>
      <c r="G111" s="9" t="s">
        <v>32</v>
      </c>
      <c r="H111" s="9" t="str">
        <f t="shared" si="12"/>
        <v>3О_БА_Г5_31351_NCSA_31351C</v>
      </c>
      <c r="I111" s="9"/>
      <c r="J111" s="9"/>
      <c r="K111" s="15"/>
      <c r="L111" s="9"/>
      <c r="M111" s="9"/>
      <c r="N111" s="9"/>
    </row>
    <row r="112" spans="1:14" x14ac:dyDescent="0.25">
      <c r="A112" s="9" t="s">
        <v>43</v>
      </c>
      <c r="B112" s="9" t="s">
        <v>44</v>
      </c>
      <c r="C112" s="9" t="s">
        <v>6</v>
      </c>
      <c r="D112" s="10">
        <v>31351</v>
      </c>
      <c r="E112" s="15"/>
      <c r="F112" s="9" t="s">
        <v>202</v>
      </c>
      <c r="G112" s="9" t="s">
        <v>203</v>
      </c>
      <c r="H112" s="9" t="str">
        <f t="shared" si="12"/>
        <v>3О_БА_Г5_31351_H_318594</v>
      </c>
      <c r="I112" s="9"/>
      <c r="J112" s="9"/>
      <c r="K112" s="15"/>
      <c r="L112" s="9"/>
      <c r="M112" s="9"/>
      <c r="N112" s="9"/>
    </row>
    <row r="113" spans="1:14" x14ac:dyDescent="0.25">
      <c r="A113" s="9" t="s">
        <v>43</v>
      </c>
      <c r="B113" s="9" t="s">
        <v>44</v>
      </c>
      <c r="C113" s="9" t="s">
        <v>6</v>
      </c>
      <c r="D113" s="10">
        <v>31351</v>
      </c>
      <c r="E113" s="15"/>
      <c r="F113" s="9" t="s">
        <v>204</v>
      </c>
      <c r="G113" s="9" t="s">
        <v>193</v>
      </c>
      <c r="H113" s="9" t="str">
        <f t="shared" si="12"/>
        <v>3О_БА_Г5_31351_HVSA 316597</v>
      </c>
      <c r="I113" s="9"/>
      <c r="J113" s="9"/>
      <c r="K113" s="15"/>
      <c r="L113" s="9"/>
      <c r="M113" s="9"/>
      <c r="N113" s="9"/>
    </row>
    <row r="114" spans="1:14" x14ac:dyDescent="0.25">
      <c r="A114" s="9" t="s">
        <v>43</v>
      </c>
      <c r="B114" s="9" t="s">
        <v>44</v>
      </c>
      <c r="C114" s="9" t="s">
        <v>6</v>
      </c>
      <c r="D114" s="10">
        <v>31351</v>
      </c>
      <c r="E114" s="15"/>
      <c r="F114" s="9" t="s">
        <v>205</v>
      </c>
      <c r="G114" s="9" t="s">
        <v>9</v>
      </c>
      <c r="H114" s="9" t="str">
        <f t="shared" si="12"/>
        <v>3О_БА_Г5_31351_PRCA_312593</v>
      </c>
      <c r="I114" s="9"/>
      <c r="J114" s="9"/>
      <c r="K114" s="15"/>
      <c r="L114" s="9"/>
      <c r="M114" s="9"/>
      <c r="N114" s="9"/>
    </row>
  </sheetData>
  <autoFilter ref="A1:N1" xr:uid="{00000000-0001-0000-0000-000000000000}"/>
  <mergeCells count="18">
    <mergeCell ref="E79:E90"/>
    <mergeCell ref="K79:K90"/>
    <mergeCell ref="E91:E102"/>
    <mergeCell ref="K91:K102"/>
    <mergeCell ref="E103:E114"/>
    <mergeCell ref="K103:K114"/>
    <mergeCell ref="E54:E67"/>
    <mergeCell ref="K54:K67"/>
    <mergeCell ref="E14:E25"/>
    <mergeCell ref="K14:K25"/>
    <mergeCell ref="E68:E78"/>
    <mergeCell ref="K68:K78"/>
    <mergeCell ref="E2:E13"/>
    <mergeCell ref="K2:K13"/>
    <mergeCell ref="E26:E39"/>
    <mergeCell ref="K26:K39"/>
    <mergeCell ref="E40:E53"/>
    <mergeCell ref="K40:K5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</vt:lpstr>
      <vt:lpstr>Цех 3О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Fsfwefd FEfdffw</dc:creator>
  <cp:lastModifiedBy>Rinat</cp:lastModifiedBy>
  <dcterms:created xsi:type="dcterms:W3CDTF">2015-06-05T18:17:20Z</dcterms:created>
  <dcterms:modified xsi:type="dcterms:W3CDTF">2026-09-30T04:34:21Z</dcterms:modified>
</cp:coreProperties>
</file>